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xl/workbook.xml" ContentType="application/vnd.ms-excel.sheet.macroEnabled.main+xml"/>
  <Override PartName="/xl/_rels/workbook.xml.rels" ContentType="application/vnd.openxmlformats-package.relationships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8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worksheets/sheet3.xml" ContentType="application/vnd.openxmlformats-officedocument.spreadsheetml.worksheet+xml"/>
  <Override PartName="/xl/worksheets/sheet8.xml" ContentType="application/vnd.openxmlformats-officedocument.spreadsheetml.worksheet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le" sheetId="1" state="visible" r:id="rId4"/>
    <sheet name="Gameplay Planning" sheetId="2" state="visible" r:id="rId5"/>
    <sheet name="Eras" sheetId="3" state="visible" r:id="rId6"/>
    <sheet name="Constants" sheetId="4" state="visible" r:id="rId7"/>
    <sheet name="Voxel Sizes" sheetId="5" state="visible" r:id="rId8"/>
    <sheet name="Long unit configs" sheetId="6" state="visible" r:id="rId9"/>
    <sheet name="APT Ecosystem" sheetId="7" state="visible" r:id="rId10"/>
    <sheet name="Cargo Classes" sheetId="8" state="visible" r:id="rId11"/>
  </sheets>
  <externalReferences>
    <externalReference r:id="rId12"/>
  </externalReferences>
  <definedNames>
    <definedName function="false" hidden="true" localSheetId="0" name="_xlnm._FilterDatabase" vbProcedure="false">Table!$A$1:$CG$22</definedName>
    <definedName function="false" hidden="false" name="APTMUVehicles" vbProcedure="false">'APT Ecosystem'!$B$7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<sst xmlns="http://schemas.openxmlformats.org/spreadsheetml/2006/main" count="710" uniqueCount="417">
  <si>
    <t xml:space="preserve">name</t>
  </si>
  <si>
    <t xml:space="preserve">id</t>
  </si>
  <si>
    <t xml:space="preserve">numeric_id</t>
  </si>
  <si>
    <t xml:space="preserve">variant_group</t>
  </si>
  <si>
    <t xml:space="preserve">sort_order</t>
  </si>
  <si>
    <t xml:space="preserve">sort_feature</t>
  </si>
  <si>
    <t xml:space="preserve">template</t>
  </si>
  <si>
    <t xml:space="preserve">type</t>
  </si>
  <si>
    <t xml:space="preserve">railtype</t>
  </si>
  <si>
    <t xml:space="preserve">year</t>
  </si>
  <si>
    <t xml:space="preserve">end_year</t>
  </si>
  <si>
    <t xml:space="preserve">service</t>
  </si>
  <si>
    <t xml:space="preserve">cars</t>
  </si>
  <si>
    <t xml:space="preserve">power</t>
  </si>
  <si>
    <t xml:space="preserve">secondary_power</t>
  </si>
  <si>
    <t xml:space="preserve">cyl_d</t>
  </si>
  <si>
    <t xml:space="preserve">cyl_len</t>
  </si>
  <si>
    <t xml:space="preserve">cyl_n</t>
  </si>
  <si>
    <t xml:space="preserve">steam_psi</t>
  </si>
  <si>
    <t xml:space="preserve">rpm</t>
  </si>
  <si>
    <t xml:space="preserve">wheel_d</t>
  </si>
  <si>
    <t xml:space="preserve">ihp</t>
  </si>
  <si>
    <t xml:space="preserve">weight</t>
  </si>
  <si>
    <t xml:space="preserve">tender_weight</t>
  </si>
  <si>
    <t xml:space="preserve">loading_speed</t>
  </si>
  <si>
    <t xml:space="preserve">tractive_effort</t>
  </si>
  <si>
    <t xml:space="preserve">te_coeff</t>
  </si>
  <si>
    <t xml:space="preserve">speed</t>
  </si>
  <si>
    <t xml:space="preserve">kmhish_speed</t>
  </si>
  <si>
    <t xml:space="preserve">secondary_speed</t>
  </si>
  <si>
    <t xml:space="preserve">speed_conf</t>
  </si>
  <si>
    <t xml:space="preserve">length</t>
  </si>
  <si>
    <t xml:space="preserve">scale_len</t>
  </si>
  <si>
    <t xml:space="preserve">width</t>
  </si>
  <si>
    <t xml:space="preserve">height</t>
  </si>
  <si>
    <t xml:space="preserve">capacity</t>
  </si>
  <si>
    <t xml:space="preserve">voxel_size</t>
  </si>
  <si>
    <t xml:space="preserve">ttd_len</t>
  </si>
  <si>
    <t xml:space="preserve">tender</t>
  </si>
  <si>
    <t xml:space="preserve">articulated_lengths</t>
  </si>
  <si>
    <t xml:space="preserve">effect_unit</t>
  </si>
  <si>
    <t xml:space="preserve">manual_lengths</t>
  </si>
  <si>
    <t xml:space="preserve">manual_ttd_len</t>
  </si>
  <si>
    <t xml:space="preserve">layout</t>
  </si>
  <si>
    <t xml:space="preserve">pantograph_unit</t>
  </si>
  <si>
    <t xml:space="preserve">new_sprites</t>
  </si>
  <si>
    <t xml:space="preserve">reuse_sprites</t>
  </si>
  <si>
    <t xml:space="preserve">animated</t>
  </si>
  <si>
    <t xml:space="preserve">replace_last_wagon</t>
  </si>
  <si>
    <t xml:space="preserve">vehicle_life</t>
  </si>
  <si>
    <t xml:space="preserve">lifespan</t>
  </si>
  <si>
    <t xml:space="preserve">run_cost_penalty</t>
  </si>
  <si>
    <t xml:space="preserve">purchase_penalty</t>
  </si>
  <si>
    <t xml:space="preserve">speed_cost_factor</t>
  </si>
  <si>
    <t xml:space="preserve">power_cost_factor</t>
  </si>
  <si>
    <t xml:space="preserve">te_cost_factor</t>
  </si>
  <si>
    <t xml:space="preserve">year_multiplier</t>
  </si>
  <si>
    <t xml:space="preserve">capacity_factor</t>
  </si>
  <si>
    <t xml:space="preserve">type_run_cost</t>
  </si>
  <si>
    <t xml:space="preserve">type_purchase_cost</t>
  </si>
  <si>
    <t xml:space="preserve">cost</t>
  </si>
  <si>
    <t xml:space="preserve">running_cost</t>
  </si>
  <si>
    <t xml:space="preserve">cost_gbp</t>
  </si>
  <si>
    <t xml:space="preserve">run_cost_gbp</t>
  </si>
  <si>
    <t xml:space="preserve">double_headed</t>
  </si>
  <si>
    <t xml:space="preserve">dvt</t>
  </si>
  <si>
    <t xml:space="preserve">inhibit_lead</t>
  </si>
  <si>
    <t xml:space="preserve">tilting</t>
  </si>
  <si>
    <t xml:space="preserve">multiple_working</t>
  </si>
  <si>
    <t xml:space="preserve">requires_second_power_car</t>
  </si>
  <si>
    <t xml:space="preserve">enable_param</t>
  </si>
  <si>
    <t xml:space="preserve">intro_month</t>
  </si>
  <si>
    <t xml:space="preserve">cargo_age_period</t>
  </si>
  <si>
    <t xml:space="preserve">cargo_handling</t>
  </si>
  <si>
    <t xml:space="preserve">default_cargo</t>
  </si>
  <si>
    <t xml:space="preserve">era_id</t>
  </si>
  <si>
    <t xml:space="preserve">category</t>
  </si>
  <si>
    <t xml:space="preserve">era_cat</t>
  </si>
  <si>
    <t xml:space="preserve">power_class</t>
  </si>
  <si>
    <t xml:space="preserve">length_text</t>
  </si>
  <si>
    <t xml:space="preserve">power_text</t>
  </si>
  <si>
    <t xml:space="preserve">units_text</t>
  </si>
  <si>
    <t xml:space="preserve">bio</t>
  </si>
  <si>
    <t xml:space="preserve">brake_text</t>
  </si>
  <si>
    <t xml:space="preserve">additional_text</t>
  </si>
  <si>
    <t xml:space="preserve">has_aged_variant</t>
  </si>
  <si>
    <t xml:space="preserve">BR Class 201 “Thumper” “4S”</t>
  </si>
  <si>
    <t xml:space="preserve">class_201_4car</t>
  </si>
  <si>
    <t xml:space="preserve">FEAT_TRAINS</t>
  </si>
  <si>
    <t xml:space="preserve">multiple_unit</t>
  </si>
  <si>
    <t xml:space="preserve">diesel</t>
  </si>
  <si>
    <t xml:space="preserve">RAIL</t>
  </si>
  <si>
    <t xml:space="preserve">br_class_201,br_class_201_mid1,br_class_201_mid1,br_class_201_rear</t>
  </si>
  <si>
    <t xml:space="preserve">1,1,0,1</t>
  </si>
  <si>
    <t xml:space="preserve">br_class_201</t>
  </si>
  <si>
    <t xml:space="preserve">class_201_6car,class_205_3car,class_205_2car</t>
  </si>
  <si>
    <t xml:space="preserve">PASS</t>
  </si>
  <si>
    <t xml:space="preserve">DMU</t>
  </si>
  <si>
    <t xml:space="preserve">Class 201 ‘Hastings’ Units were constructed to a narrow loading gauge to work through a number of limited clearance tunnels in the southern region. Southern DEMUs of the time had their engines mounted above the frames.</t>
  </si>
  <si>
    <t xml:space="preserve">BR Class 201 “Thumper” 6S</t>
  </si>
  <si>
    <t xml:space="preserve">class_201_6car</t>
  </si>
  <si>
    <t xml:space="preserve">br_class_201,br_class_201_mid1,br_class_201_mid1,br_class_201_mid1,br_class_201_mid1,br_class_201_rear</t>
  </si>
  <si>
    <t xml:space="preserve">0,0,0,0,0,0</t>
  </si>
  <si>
    <t xml:space="preserve">class_201_4car,class_205_3car,class_205_2car</t>
  </si>
  <si>
    <t xml:space="preserve">BR Class 205 “Thumper” 3H</t>
  </si>
  <si>
    <t xml:space="preserve">class_205_3car</t>
  </si>
  <si>
    <t xml:space="preserve">br_class_205,br_class_205_mid,br_class_205_rear</t>
  </si>
  <si>
    <t xml:space="preserve">1,1,1</t>
  </si>
  <si>
    <t xml:space="preserve">br_class_205</t>
  </si>
  <si>
    <t xml:space="preserve">class_205_2car,class_201_6car,class_201_4car</t>
  </si>
  <si>
    <t xml:space="preserve">Class 205 units were a relatively numerous class of high-density non-corridor multiple units that worked services across Hampshire. In many ways they were the classic ‘Thumper’ unit.</t>
  </si>
  <si>
    <t xml:space="preserve">BR Class 205 “Thumper” 2H</t>
  </si>
  <si>
    <t xml:space="preserve">class_205_2car</t>
  </si>
  <si>
    <t xml:space="preserve">br_class_205,br_class_205_rear</t>
  </si>
  <si>
    <t xml:space="preserve">0,0</t>
  </si>
  <si>
    <t xml:space="preserve">class_205_3car,class_201_6car,class_201_4car</t>
  </si>
  <si>
    <t xml:space="preserve">BR Class 411 “4CEP”</t>
  </si>
  <si>
    <t xml:space="preserve">br_class_411</t>
  </si>
  <si>
    <t xml:space="preserve">electric</t>
  </si>
  <si>
    <t xml:space="preserve">THIRD_RAIL</t>
  </si>
  <si>
    <t xml:space="preserve">br_4cep,br_4cep_mid1,br_4cep_mid2,br_4cep_rear</t>
  </si>
  <si>
    <t xml:space="preserve">1,1,1,1</t>
  </si>
  <si>
    <t xml:space="preserve">br_4cep</t>
  </si>
  <si>
    <t xml:space="preserve">br_class_419,br_class_489</t>
  </si>
  <si>
    <t xml:space="preserve">EMU</t>
  </si>
  <si>
    <t xml:space="preserve">The archetypal express Mk1 EMU</t>
  </si>
  <si>
    <t xml:space="preserve">BR Class 419 “MLV”</t>
  </si>
  <si>
    <t xml:space="preserve">br_class_419</t>
  </si>
  <si>
    <t xml:space="preserve">locomotive</t>
  </si>
  <si>
    <t xml:space="preserve">dual_power</t>
  </si>
  <si>
    <t xml:space="preserve">BATTERY</t>
  </si>
  <si>
    <t xml:space="preserve">br_class_411,br_class_489</t>
  </si>
  <si>
    <t xml:space="preserve">MAIL</t>
  </si>
  <si>
    <t xml:space="preserve">The Class 419 Motor Luggage Van was used to extend the luggage capacity of express services and was capable of running on it’s own batteries within non-electrified areas.</t>
  </si>
  <si>
    <t xml:space="preserve">BR Class 489 “GLV”</t>
  </si>
  <si>
    <t xml:space="preserve">br_class_489</t>
  </si>
  <si>
    <t xml:space="preserve">br_class_411,br_class_419</t>
  </si>
  <si>
    <t xml:space="preserve">A late conversion of the 2HAP driving motor to a cab and luggage car for Gatwick Express services</t>
  </si>
  <si>
    <t xml:space="preserve">Leyland/Hunslet Class 153 "Super Sprinter" </t>
  </si>
  <si>
    <t xml:space="preserve">class_153</t>
  </si>
  <si>
    <t xml:space="preserve">234x44x53</t>
  </si>
  <si>
    <t xml:space="preserve">lbr</t>
  </si>
  <si>
    <t xml:space="preserve">lbr_DMU</t>
  </si>
  <si>
    <t xml:space="preserve">diesel_RAIL</t>
  </si>
  <si>
    <t xml:space="preserve">{BLACK}Cars: {GOLD}2</t>
  </si>
  <si>
    <t xml:space="preserve">The Class 153 was a conversion of earlier Class 155 units, 35 of which were split in two with small cabs added at the inner ends.</t>
  </si>
  <si>
    <t xml:space="preserve">BREL Class 370 "APT-P" (6 car leading set)</t>
  </si>
  <si>
    <t xml:space="preserve">apt_half_6</t>
  </si>
  <si>
    <t xml:space="preserve">none</t>
  </si>
  <si>
    <t xml:space="preserve">apt,apt_mid,apt_mid,apt_mid,apt_mid,apt_tbf2</t>
  </si>
  <si>
    <t xml:space="preserve">1,1,0,0,0,1</t>
  </si>
  <si>
    <t xml:space="preserve">apt</t>
  </si>
  <si>
    <t xml:space="preserve">param_max_mu_length == 0</t>
  </si>
  <si>
    <t xml:space="preserve">EMU (Express)</t>
  </si>
  <si>
    <t xml:space="preserve">A 6-car half-rake of APT-P vehicles</t>
  </si>
  <si>
    <t xml:space="preserve">BREL Class 370 "APT-P" (6 car trailing set)</t>
  </si>
  <si>
    <t xml:space="preserve">apt_half_6_rev</t>
  </si>
  <si>
    <t xml:space="preserve">apt_tbf2_rev,apt_mid,apt_mid,apt_mid,apt_mid,apt_rear</t>
  </si>
  <si>
    <t xml:space="preserve">1,0,0,0,0,1</t>
  </si>
  <si>
    <t xml:space="preserve">apt_tbf2_rev</t>
  </si>
  <si>
    <t xml:space="preserve">BREL Class 370 "APT-P" (2 car leading set)</t>
  </si>
  <si>
    <t xml:space="preserve">apt_half_2</t>
  </si>
  <si>
    <t xml:space="preserve">apt,apt_tbf2</t>
  </si>
  <si>
    <t xml:space="preserve">A minimal 2-car half-rake of APT-P Vehicles. Lack of dining facilities makes this much less attractive for passengers.</t>
  </si>
  <si>
    <t xml:space="preserve">BREL Class 370 "APT-P" (2 car trailing set)</t>
  </si>
  <si>
    <t xml:space="preserve">apt_half_2_rev</t>
  </si>
  <si>
    <t xml:space="preserve">apt_tbf2_rev,apt_rear</t>
  </si>
  <si>
    <t xml:space="preserve">BREL Class 370 "APT-P" (power car)</t>
  </si>
  <si>
    <t xml:space="preserve">apt_powercar</t>
  </si>
  <si>
    <t xml:space="preserve">ELRL</t>
  </si>
  <si>
    <t xml:space="preserve">apt_power</t>
  </si>
  <si>
    <t xml:space="preserve">An APT-P centre power car</t>
  </si>
  <si>
    <t xml:space="preserve">BREL Class 370 "APT-P" (power car 2)</t>
  </si>
  <si>
    <t xml:space="preserve">apt_powercar2</t>
  </si>
  <si>
    <t xml:space="preserve">apt_power_rev</t>
  </si>
  <si>
    <t xml:space="preserve">BREL APT-S Driving Motor</t>
  </si>
  <si>
    <t xml:space="preserve">apt_s_dm</t>
  </si>
  <si>
    <t xml:space="preserve">concept_trains</t>
  </si>
  <si>
    <t xml:space="preserve">Express (Electric)</t>
  </si>
  <si>
    <t xml:space="preserve">The APT-S was a rework of the APT concept towards more conventional rolling stock, with a driving motor car, articulated trailers and a DVT.</t>
  </si>
  <si>
    <t xml:space="preserve">BREL APT-S/Q Driving Van Trailer</t>
  </si>
  <si>
    <t xml:space="preserve">apt_q_dvt</t>
  </si>
  <si>
    <t xml:space="preserve">The APT-Q was proposed to rationalise existing APT-P stock into usable 6-car tains, with a single non-driving power car and a new-build DVT.</t>
  </si>
  <si>
    <t xml:space="preserve">BREL "APT-S" Trailer Rake (10 cars)</t>
  </si>
  <si>
    <t xml:space="preserve">apt_s_10</t>
  </si>
  <si>
    <t xml:space="preserve">apt_tbf_rev,apt_mid,apt_mid,apt_mid,apt_mid,apt_mid,apt_mid,apt_mid,apt_mid,apt_tbf</t>
  </si>
  <si>
    <t xml:space="preserve">1,0,0,0,0,0,0,0,0,1</t>
  </si>
  <si>
    <t xml:space="preserve">apt_tbf_rev</t>
  </si>
  <si>
    <t xml:space="preserve">param_max_mu_length == 0 &amp;&amp; concept_trains</t>
  </si>
  <si>
    <t xml:space="preserve">An articulated trailer rake of APT-S Vehicles, intended to run with a Driving Motor and a DVT</t>
  </si>
  <si>
    <t xml:space="preserve">BREL "APT-S" Trailer Rake (6 cars)</t>
  </si>
  <si>
    <t xml:space="preserve">apt_s_6</t>
  </si>
  <si>
    <t xml:space="preserve">apt_tbf_rev,apt_mid,apt_mid,apt_mid,apt_mid,apt_tbf</t>
  </si>
  <si>
    <t xml:space="preserve">param_max_mu_length &lt; 2 &amp;&amp; concept_trains</t>
  </si>
  <si>
    <t xml:space="preserve">BR Class 73/9 “Ultra73”</t>
  </si>
  <si>
    <t xml:space="preserve">br_class_73_9</t>
  </si>
  <si>
    <t xml:space="preserve">MT (Electric)</t>
  </si>
  <si>
    <t xml:space="preserve">These re-engined and modernized Class 73s retained their ability to run from the third rail but received diesel engines capable of operating at an equivalent power level.</t>
  </si>
  <si>
    <t xml:space="preserve">RCH Salt Wagon</t>
  </si>
  <si>
    <t xml:space="preserve">salt_van</t>
  </si>
  <si>
    <t xml:space="preserve">wagon</t>
  </si>
  <si>
    <t xml:space="preserve">Powder</t>
  </si>
  <si>
    <t xml:space="preserve">SALT</t>
  </si>
  <si>
    <t xml:space="preserve">Tanker</t>
  </si>
  <si>
    <t xml:space="preserve">The standard RCH Salt Wagon design of 1907 was long-lived in private ownership and saw some use beyond sodium chloride, which was largely used as part of the chemical industry.</t>
  </si>
  <si>
    <t xml:space="preserve">“Presflo” Powder Hopper</t>
  </si>
  <si>
    <t xml:space="preserve">presflo</t>
  </si>
  <si>
    <t xml:space="preserve">BDMT</t>
  </si>
  <si>
    <t xml:space="preserve">The Presflo covered hopper was designed specifically to carry cement powder, being unloaded via a pressurized air connection and liquefaction of the cargo.</t>
  </si>
  <si>
    <t xml:space="preserve">PCA Powder Tanker</t>
  </si>
  <si>
    <t xml:space="preserve">pca_tank</t>
  </si>
  <si>
    <t xml:space="preserve">na</t>
  </si>
  <si>
    <t xml:space="preserve">JPA Powder Tanker</t>
  </si>
  <si>
    <t xml:space="preserve">jpa_tank</t>
  </si>
  <si>
    <t xml:space="preserve">BR Grain Hopper</t>
  </si>
  <si>
    <t xml:space="preserve">grain_hopper</t>
  </si>
  <si>
    <t xml:space="preserve">“Grainflow” Covered Hopper</t>
  </si>
  <si>
    <t xml:space="preserve">grainflow</t>
  </si>
  <si>
    <t xml:space="preserve">“Polybulk” Covered Hopper</t>
  </si>
  <si>
    <t xml:space="preserve">polybulk</t>
  </si>
  <si>
    <t xml:space="preserve">Covered</t>
  </si>
  <si>
    <t xml:space="preserve">GRAI</t>
  </si>
  <si>
    <t xml:space="preserve">Large bogie covered hoppers first appeared in Britain in the mid 1970s. These were frequently privately owned and registered as international vehicles. This slab-sided ‘Polybulk’ example was built in France.</t>
  </si>
  <si>
    <t xml:space="preserve">LNWR Sleeping Car</t>
  </si>
  <si>
    <t xml:space="preserve">lnwr_sleeper</t>
  </si>
  <si>
    <t xml:space="preserve">luxury_carriage</t>
  </si>
  <si>
    <t xml:space="preserve">Mark 1 Sleeper</t>
  </si>
  <si>
    <t xml:space="preserve">mk1_sleeper</t>
  </si>
  <si>
    <t xml:space="preserve">carriage</t>
  </si>
  <si>
    <t xml:space="preserve">Mark 3 Sleeper</t>
  </si>
  <si>
    <t xml:space="preserve">passenger_coach_mk3_sleeper</t>
  </si>
  <si>
    <t xml:space="preserve">Passengers</t>
  </si>
  <si>
    <t xml:space="preserve">Carriage</t>
  </si>
  <si>
    <t xml:space="preserve">The Mk3 Sleeper was a significant upgrade over the previous stock – being air conditioned and air sprung. Two berths per cabin unfortunately give these vehicles a low capacity.</t>
  </si>
  <si>
    <t xml:space="preserve">Passenger</t>
  </si>
  <si>
    <t xml:space="preserve">Mixed Traffic</t>
  </si>
  <si>
    <t xml:space="preserve">Cheap</t>
  </si>
  <si>
    <t xml:space="preserve">Express</t>
  </si>
  <si>
    <t xml:space="preserve">Freight</t>
  </si>
  <si>
    <t xml:space="preserve">Freight (Electric)</t>
  </si>
  <si>
    <t xml:space="preserve">DMU (Cheap)</t>
  </si>
  <si>
    <t xml:space="preserve">DMU (Express)</t>
  </si>
  <si>
    <t xml:space="preserve">LU</t>
  </si>
  <si>
    <t xml:space="preserve">Mail Carriage</t>
  </si>
  <si>
    <t xml:space="preserve">Open Wagon</t>
  </si>
  <si>
    <t xml:space="preserve">Flat Wagon</t>
  </si>
  <si>
    <t xml:space="preserve">Van</t>
  </si>
  <si>
    <t xml:space="preserve">Extra</t>
  </si>
  <si>
    <t xml:space="preserve">Era</t>
  </si>
  <si>
    <t xml:space="preserve">(name)</t>
  </si>
  <si>
    <t xml:space="preserve">early</t>
  </si>
  <si>
    <t xml:space="preserve">vct</t>
  </si>
  <si>
    <t xml:space="preserve">edw</t>
  </si>
  <si>
    <t xml:space="preserve">big4</t>
  </si>
  <si>
    <t xml:space="preserve">ebr</t>
  </si>
  <si>
    <t xml:space="preserve">dsl</t>
  </si>
  <si>
    <t xml:space="preserve">prv</t>
  </si>
  <si>
    <t xml:space="preserve">mod</t>
  </si>
  <si>
    <t xml:space="preserve">Start Year</t>
  </si>
  <si>
    <t xml:space="preserve">ID</t>
  </si>
  <si>
    <t xml:space="preserve">Name</t>
  </si>
  <si>
    <t xml:space="preserve">Early (1800-1850)</t>
  </si>
  <si>
    <t xml:space="preserve">Victorian (1850-1900)</t>
  </si>
  <si>
    <t xml:space="preserve">Edwardian (1900-1920)</t>
  </si>
  <si>
    <t xml:space="preserve">Big Four (1923-1948)</t>
  </si>
  <si>
    <t xml:space="preserve">Early BR (1948-1955)</t>
  </si>
  <si>
    <t xml:space="preserve">Dieselisation (1955-1970)</t>
  </si>
  <si>
    <t xml:space="preserve">Late BR (1970-1995)</t>
  </si>
  <si>
    <t xml:space="preserve">Privatisation (1995-2005)</t>
  </si>
  <si>
    <t xml:space="preserve">Modern (2005-)</t>
  </si>
  <si>
    <t xml:space="preserve">Length</t>
  </si>
  <si>
    <t xml:space="preserve">Configuration</t>
  </si>
  <si>
    <t xml:space="preserve">Tender Configuration</t>
  </si>
  <si>
    <t xml:space="preserve">Running Cost Base</t>
  </si>
  <si>
    <t xml:space="preserve">Type</t>
  </si>
  <si>
    <t xml:space="preserve">Running cost factor</t>
  </si>
  <si>
    <t xml:space="preserve">Purchase cost factor</t>
  </si>
  <si>
    <t xml:space="preserve">power_type</t>
  </si>
  <si>
    <t xml:space="preserve">power_desc</t>
  </si>
  <si>
    <t xml:space="preserve">Cost Base</t>
  </si>
  <si>
    <t xml:space="preserve">Diesel</t>
  </si>
  <si>
    <t xml:space="preserve">steam_RAIL</t>
  </si>
  <si>
    <t xml:space="preserve">Steam</t>
  </si>
  <si>
    <t xml:space="preserve">1,2,1</t>
  </si>
  <si>
    <t xml:space="preserve">steam</t>
  </si>
  <si>
    <t xml:space="preserve">electric_ELRL</t>
  </si>
  <si>
    <t xml:space="preserve">25kV AC</t>
  </si>
  <si>
    <t xml:space="preserve">2,1,2</t>
  </si>
  <si>
    <t xml:space="preserve">electric_THIRD_RAIL</t>
  </si>
  <si>
    <t xml:space="preserve">750V DC</t>
  </si>
  <si>
    <t xml:space="preserve">2,2,2</t>
  </si>
  <si>
    <t xml:space="preserve">dual_electric</t>
  </si>
  <si>
    <t xml:space="preserve">tender_RAIL</t>
  </si>
  <si>
    <t xml:space="preserve">2,3,2</t>
  </si>
  <si>
    <t xml:space="preserve">carriage_RAIL</t>
  </si>
  <si>
    <t xml:space="preserve">2,4,2</t>
  </si>
  <si>
    <t xml:space="preserve">luxury_carriage_RAIL</t>
  </si>
  <si>
    <t xml:space="preserve">2,5,2</t>
  </si>
  <si>
    <t xml:space="preserve">wagon_RAIL</t>
  </si>
  <si>
    <t xml:space="preserve">4,2,4</t>
  </si>
  <si>
    <t xml:space="preserve">brake</t>
  </si>
  <si>
    <t xml:space="preserve">steam_NARROW_GAUGE</t>
  </si>
  <si>
    <t xml:space="preserve">4,3,4</t>
  </si>
  <si>
    <t xml:space="preserve">tube</t>
  </si>
  <si>
    <t xml:space="preserve">dual_power_RAIL</t>
  </si>
  <si>
    <t xml:space="preserve">750V DC / Diesel</t>
  </si>
  <si>
    <t xml:space="preserve">4,4,4</t>
  </si>
  <si>
    <t xml:space="preserve">dual_electric_DUAL_POWER</t>
  </si>
  <si>
    <t xml:space="preserve">25kV AC / 750V DC</t>
  </si>
  <si>
    <t xml:space="preserve">4,5,4</t>
  </si>
  <si>
    <t xml:space="preserve">petrol</t>
  </si>
  <si>
    <t xml:space="preserve">brake_RAIL</t>
  </si>
  <si>
    <t xml:space="preserve">4,6,4</t>
  </si>
  <si>
    <t xml:space="preserve">lpgflywheel</t>
  </si>
  <si>
    <t xml:space="preserve">tube_RAIL</t>
  </si>
  <si>
    <t xml:space="preserve">4,7,4</t>
  </si>
  <si>
    <t xml:space="preserve">horses</t>
  </si>
  <si>
    <t xml:space="preserve">_</t>
  </si>
  <si>
    <t xml:space="preserve">4,8,4</t>
  </si>
  <si>
    <t xml:space="preserve">petrol_RAIL</t>
  </si>
  <si>
    <t xml:space="preserve">Petrol</t>
  </si>
  <si>
    <t xml:space="preserve">gas_turbine</t>
  </si>
  <si>
    <t xml:space="preserve">dual_power_ELRL</t>
  </si>
  <si>
    <t xml:space="preserve">25kV AC / Diesel</t>
  </si>
  <si>
    <t xml:space="preserve">battery</t>
  </si>
  <si>
    <t xml:space="preserve">lpgflywheel_RAIL</t>
  </si>
  <si>
    <t xml:space="preserve">LPG / Flywheel</t>
  </si>
  <si>
    <t xml:space="preserve">wagon_PLATEWAY</t>
  </si>
  <si>
    <t xml:space="preserve">steam_PLATEWAY</t>
  </si>
  <si>
    <t xml:space="preserve">carriage_PLATEWAY</t>
  </si>
  <si>
    <t xml:space="preserve">horses_PLATEWAY</t>
  </si>
  <si>
    <t xml:space="preserve">Grass and hay</t>
  </si>
  <si>
    <t xml:space="preserve">tube_FOURTH_RAIL</t>
  </si>
  <si>
    <t xml:space="preserve">630V DC</t>
  </si>
  <si>
    <t xml:space="preserve">brake_PLATEWAY</t>
  </si>
  <si>
    <t xml:space="preserve">carriage_FOURTH_RAIL</t>
  </si>
  <si>
    <t xml:space="preserve">horses_NARROW_GAUGE</t>
  </si>
  <si>
    <t xml:space="preserve">wagon_NARROW_GAUGE</t>
  </si>
  <si>
    <t xml:space="preserve">diesel_NARROW_GAUGE</t>
  </si>
  <si>
    <t xml:space="preserve">none_RAIL</t>
  </si>
  <si>
    <t xml:space="preserve">gas_turbine_RAIL</t>
  </si>
  <si>
    <t xml:space="preserve">Gas Turbine</t>
  </si>
  <si>
    <t xml:space="preserve">petrol_NARROW_GAUGE</t>
  </si>
  <si>
    <t xml:space="preserve">none_ELRL</t>
  </si>
  <si>
    <t xml:space="preserve">dual_power_BATTERY</t>
  </si>
  <si>
    <t xml:space="preserve">750V DC / Battery</t>
  </si>
  <si>
    <t xml:space="preserve">TTD Length</t>
  </si>
  <si>
    <t xml:space="preserve">Voxel Size</t>
  </si>
  <si>
    <t xml:space="preserve">Voxel Size (calculated)</t>
  </si>
  <si>
    <t xml:space="preserve">Voxel size (observed)</t>
  </si>
  <si>
    <t xml:space="preserve">APT</t>
  </si>
  <si>
    <t xml:space="preserve">Names</t>
  </si>
  <si>
    <t xml:space="preserve">apt_mid</t>
  </si>
  <si>
    <t xml:space="preserve">apt_tbf</t>
  </si>
  <si>
    <t xml:space="preserve">apt_rear</t>
  </si>
  <si>
    <t xml:space="preserve">Newsprites</t>
  </si>
  <si>
    <t xml:space="preserve">Eurostar</t>
  </si>
  <si>
    <t xml:space="preserve">eurostar</t>
  </si>
  <si>
    <t xml:space="preserve">eurostar_motor</t>
  </si>
  <si>
    <t xml:space="preserve">eurostar_mid</t>
  </si>
  <si>
    <t xml:space="preserve">eurostar_tbk</t>
  </si>
  <si>
    <t xml:space="preserve">eurostar_motor_rev</t>
  </si>
  <si>
    <t xml:space="preserve">eurostar_rear</t>
  </si>
  <si>
    <t xml:space="preserve">TTD length</t>
  </si>
  <si>
    <t xml:space="preserve">Articulation</t>
  </si>
  <si>
    <t xml:space="preserve">Eurostar (8 car)</t>
  </si>
  <si>
    <t xml:space="preserve">Eurostar (5 car)</t>
  </si>
  <si>
    <t xml:space="preserve">Class 755</t>
  </si>
  <si>
    <t xml:space="preserve">stadler_class_755</t>
  </si>
  <si>
    <t xml:space="preserve">stadler_class_755_mid</t>
  </si>
  <si>
    <t xml:space="preserve">stadler_class_755_motor</t>
  </si>
  <si>
    <t xml:space="preserve">stadler_class_755_mid_rev</t>
  </si>
  <si>
    <t xml:space="preserve">stadler_class_755_rear</t>
  </si>
  <si>
    <t xml:space="preserve">Formation</t>
  </si>
  <si>
    <t xml:space="preserve">Mass</t>
  </si>
  <si>
    <t xml:space="preserve">Capacity</t>
  </si>
  <si>
    <t xml:space="preserve">capacity per car</t>
  </si>
  <si>
    <t xml:space="preserve">6 car default</t>
  </si>
  <si>
    <t xml:space="preserve">7 car stretch</t>
  </si>
  <si>
    <t xml:space="preserve">2 car minimum</t>
  </si>
  <si>
    <t xml:space="preserve">10 car apt-s</t>
  </si>
  <si>
    <t xml:space="preserve">6 car apt-s</t>
  </si>
  <si>
    <t xml:space="preserve">APT Vehicles</t>
  </si>
  <si>
    <t xml:space="preserve">Passengers  </t>
  </si>
  <si>
    <t xml:space="preserve">CC_PASSENGERS</t>
  </si>
  <si>
    <t xml:space="preserve">=</t>
  </si>
  <si>
    <t xml:space="preserve">;</t>
  </si>
  <si>
    <t xml:space="preserve">Mail  </t>
  </si>
  <si>
    <t xml:space="preserve">CC_MAIL</t>
  </si>
  <si>
    <t xml:space="preserve">Express  </t>
  </si>
  <si>
    <t xml:space="preserve">CC_EXPRESS</t>
  </si>
  <si>
    <t xml:space="preserve">Armoured  </t>
  </si>
  <si>
    <t xml:space="preserve">CC_ARMOURED</t>
  </si>
  <si>
    <t xml:space="preserve">Open Bulk  </t>
  </si>
  <si>
    <t xml:space="preserve">CC_OPEN_BULK</t>
  </si>
  <si>
    <t xml:space="preserve">Piece Goods  </t>
  </si>
  <si>
    <t xml:space="preserve">CC_PIECE_GOODS</t>
  </si>
  <si>
    <t xml:space="preserve">Liquid Bulk  </t>
  </si>
  <si>
    <t xml:space="preserve">CC_LIQUID_BULK</t>
  </si>
  <si>
    <t xml:space="preserve">Refrigerated  </t>
  </si>
  <si>
    <t xml:space="preserve">CC_REFRIGERATED</t>
  </si>
  <si>
    <t xml:space="preserve">Gas Bulk  </t>
  </si>
  <si>
    <t xml:space="preserve">CC_GAS_BULK</t>
  </si>
  <si>
    <t xml:space="preserve">Covered Bulk  </t>
  </si>
  <si>
    <t xml:space="preserve">CC_COVERED_BULK</t>
  </si>
  <si>
    <t xml:space="preserve">Flatbed  </t>
  </si>
  <si>
    <t xml:space="preserve">CC_FLATBED</t>
  </si>
  <si>
    <t xml:space="preserve">Powder Bulk  </t>
  </si>
  <si>
    <t xml:space="preserve">CC_POWDER_BULK</t>
  </si>
  <si>
    <t xml:space="preserve">Weird  </t>
  </si>
  <si>
    <t xml:space="preserve">CC_WEIRD</t>
  </si>
  <si>
    <t xml:space="preserve">Potable  </t>
  </si>
  <si>
    <t xml:space="preserve">CC_POTABLE</t>
  </si>
  <si>
    <t xml:space="preserve">Non-Potable  </t>
  </si>
  <si>
    <t xml:space="preserve">CC_NON_POTABLE</t>
  </si>
  <si>
    <t xml:space="preserve">Special (do not use) </t>
  </si>
  <si>
    <t xml:space="preserve">CC_SPECIAL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</si>
</sst>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"/>
    <numFmt numFmtId="166" formatCode="\£#,##0"/>
    <numFmt numFmtId="167" formatCode="0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DEEBF7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D6DCE5"/>
        <bgColor rgb="FFDBDBDB"/>
      </patternFill>
    </fill>
    <fill>
      <patternFill patternType="solid">
        <fgColor rgb="FFDBDBDB"/>
        <bgColor rgb="FFD9D9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F8CBAD"/>
        <bgColor rgb="FFFFC7CE"/>
      </patternFill>
    </fill>
    <fill>
      <patternFill patternType="solid">
        <fgColor rgb="FFEDEDED"/>
        <bgColor rgb="FFDEEBF7"/>
      </patternFill>
    </fill>
    <fill>
      <patternFill patternType="solid">
        <fgColor rgb="FFD9D9D9"/>
        <bgColor rgb="FFDBDBDB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4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5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6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7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8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9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2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3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4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6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1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0" fillId="0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0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EEBF7"/>
          <bgColor rgb="FF000000"/>
        </patternFill>
      </fill>
    </dxf>
    <dxf>
      <fill>
        <patternFill patternType="solid">
          <fgColor rgb="FFE2F0D9"/>
          <bgColor rgb="FF000000"/>
        </patternFill>
      </fill>
    </dxf>
    <dxf>
      <fill>
        <patternFill patternType="solid">
          <fgColor rgb="FFD6DCE5"/>
          <bgColor rgb="FF000000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 patternType="solid">
          <fgColor rgb="FFDBDBDB"/>
          <bgColor rgb="FF000000"/>
        </patternFill>
      </fill>
    </dxf>
    <dxf>
      <fill>
        <patternFill patternType="solid">
          <fgColor rgb="FFD9D9D9"/>
          <bgColor rgb="FF000000"/>
        </patternFill>
      </fill>
    </dxf>
    <dxf>
      <font>
        <name val="Calibri"/>
        <charset val="1"/>
        <family val="2"/>
        <color rgb="FF9C0006"/>
        <sz val="11"/>
      </font>
      <fill>
        <patternFill>
          <bgColor rgb="FFFFC7CE"/>
        </patternFill>
      </fill>
    </dxf>
    <dxf>
      <font>
        <color rgb="FF9C0006"/>
      </font>
      <fill>
        <patternFill>
          <bgColor rgb="FFFFFF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D6DC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EDED"/>
      <rgbColor rgb="FFE2F0D9"/>
      <rgbColor rgb="FFFBE5D6"/>
      <rgbColor rgb="FFDBDBDB"/>
      <rgbColor rgb="FFFFC7CE"/>
      <rgbColor rgb="FFCC99FF"/>
      <rgbColor rgb="FFF8CBAD"/>
      <rgbColor rgb="FF3366FF"/>
      <rgbColor rgb="FF33CCCC"/>
      <rgbColor rgb="FF99CC00"/>
      <rgbColor rgb="FFFFCC00"/>
      <rgbColor rgb="FFFF9900"/>
      <rgbColor rgb="FFFF6600"/>
      <rgbColor rgb="FF666699"/>
      <rgbColor rgb="FFA5A5A5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externalLink" Target="externalLinks/externalLink1.xml"/><Relationship Id="rId1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Tracking%20Table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able"/>
      <sheetName val="Gameplay Planning"/>
      <sheetName val="Eras"/>
      <sheetName val="Constants"/>
      <sheetName val="Voxel Sizes"/>
      <sheetName val="Long unit configs"/>
      <sheetName val="Cargo table"/>
    </sheetNames>
    <sheetDataSet>
      <sheetData sheetId="0"/>
      <sheetData sheetId="1"/>
      <sheetData sheetId="2">
        <row r="2">
          <cell r="A2">
            <v>1700</v>
          </cell>
          <cell r="B2" t="str">
            <v>early</v>
          </cell>
          <cell r="C2" t="str">
            <v>Early (1800-1850)</v>
          </cell>
        </row>
        <row r="3">
          <cell r="A3">
            <v>1850</v>
          </cell>
          <cell r="B3" t="str">
            <v>vct</v>
          </cell>
          <cell r="C3" t="str">
            <v>Victorian (1850-1900)</v>
          </cell>
        </row>
        <row r="4">
          <cell r="A4">
            <v>1900</v>
          </cell>
          <cell r="B4" t="str">
            <v>edw</v>
          </cell>
          <cell r="C4" t="str">
            <v>Edwardian (1900-1920)</v>
          </cell>
        </row>
        <row r="5">
          <cell r="A5">
            <v>1923</v>
          </cell>
          <cell r="B5" t="str">
            <v>big4</v>
          </cell>
          <cell r="C5" t="str">
            <v>Big Four (1923-1948)</v>
          </cell>
        </row>
        <row r="6">
          <cell r="A6">
            <v>1948</v>
          </cell>
          <cell r="B6" t="str">
            <v>ebr</v>
          </cell>
          <cell r="C6" t="str">
            <v>Early BR (1948-1955)</v>
          </cell>
        </row>
        <row r="7">
          <cell r="A7">
            <v>1955</v>
          </cell>
          <cell r="B7" t="str">
            <v>dsl</v>
          </cell>
          <cell r="C7" t="str">
            <v>Dieselisation (1955-1970)</v>
          </cell>
        </row>
        <row r="8">
          <cell r="A8">
            <v>1970</v>
          </cell>
          <cell r="B8" t="str">
            <v>lbr</v>
          </cell>
          <cell r="C8" t="str">
            <v>Late BR (1970-1995)</v>
          </cell>
        </row>
        <row r="9">
          <cell r="A9">
            <v>1995</v>
          </cell>
          <cell r="B9" t="str">
            <v>prv</v>
          </cell>
          <cell r="C9" t="str">
            <v>Privatisation (1995-2005)</v>
          </cell>
        </row>
        <row r="10">
          <cell r="A10">
            <v>2005</v>
          </cell>
          <cell r="B10" t="str">
            <v>mod</v>
          </cell>
          <cell r="C10" t="str">
            <v>Modern (2005-)</v>
          </cell>
        </row>
      </sheetData>
      <sheetData sheetId="3">
        <row r="1">
          <cell r="G1">
            <v>15</v>
          </cell>
        </row>
        <row r="1">
          <cell r="M1" t="str">
            <v>power_type</v>
          </cell>
        </row>
        <row r="2">
          <cell r="G2">
            <v>5</v>
          </cell>
        </row>
        <row r="2">
          <cell r="M2" t="str">
            <v>diesel_RAIL</v>
          </cell>
        </row>
        <row r="3">
          <cell r="M3" t="str">
            <v>steam_RAIL</v>
          </cell>
        </row>
        <row r="4">
          <cell r="M4" t="str">
            <v>electric_ELRL</v>
          </cell>
        </row>
        <row r="5">
          <cell r="M5" t="str">
            <v>electric_THIRD_RAIL</v>
          </cell>
        </row>
        <row r="6">
          <cell r="M6" t="str">
            <v>tender_RAIL</v>
          </cell>
        </row>
        <row r="7">
          <cell r="M7" t="str">
            <v>carriage_RAIL</v>
          </cell>
        </row>
        <row r="8">
          <cell r="M8" t="str">
            <v>luxury_carriage_RAIL</v>
          </cell>
        </row>
        <row r="9">
          <cell r="M9" t="str">
            <v>wagon_RAIL</v>
          </cell>
        </row>
        <row r="10">
          <cell r="M10" t="str">
            <v>steam_NGRL</v>
          </cell>
        </row>
        <row r="11">
          <cell r="M11" t="str">
            <v>dual_power_RAIL</v>
          </cell>
        </row>
        <row r="12">
          <cell r="M12" t="str">
            <v>dual_electric_DUAL_POWER</v>
          </cell>
        </row>
        <row r="13">
          <cell r="M13" t="str">
            <v>brake_RAIL</v>
          </cell>
        </row>
        <row r="14">
          <cell r="M14" t="str">
            <v>tube_RAIL</v>
          </cell>
        </row>
        <row r="15">
          <cell r="M15" t="str">
            <v>_</v>
          </cell>
        </row>
        <row r="16">
          <cell r="M16" t="str">
            <v>petrol_RAIL</v>
          </cell>
        </row>
        <row r="17">
          <cell r="M17" t="str">
            <v>dual_power_ELRL</v>
          </cell>
        </row>
        <row r="18">
          <cell r="M18" t="str">
            <v>lpgflywheel_RAIL</v>
          </cell>
        </row>
        <row r="19">
          <cell r="M19" t="str">
            <v>wagon_PLATEWAY</v>
          </cell>
        </row>
        <row r="20">
          <cell r="M20" t="str">
            <v>steam_PLATEWAY</v>
          </cell>
        </row>
        <row r="21">
          <cell r="M21" t="str">
            <v>carriage_PLATEWAY</v>
          </cell>
        </row>
        <row r="22">
          <cell r="M22" t="str">
            <v>horses_PLATEWAY</v>
          </cell>
        </row>
        <row r="23">
          <cell r="M23" t="str">
            <v>tube_FOURTH_RAIL</v>
          </cell>
        </row>
        <row r="24">
          <cell r="M24" t="str">
            <v>brake_PLATEWAY</v>
          </cell>
        </row>
        <row r="25">
          <cell r="M25" t="str">
            <v>carriage_FOURTH_RAIL</v>
          </cell>
        </row>
        <row r="26">
          <cell r="M26" t="str">
            <v>none_RAIL</v>
          </cell>
        </row>
        <row r="27">
          <cell r="M27" t="str">
            <v>gas_turbine_RAIL</v>
          </cell>
        </row>
        <row r="28">
          <cell r="M28" t="str">
            <v>dual_power_BATTERY</v>
          </cell>
        </row>
      </sheetData>
      <sheetData sheetId="4">
        <row r="2">
          <cell r="A2">
            <v>0</v>
          </cell>
          <cell r="B2">
            <v>0</v>
          </cell>
        </row>
        <row r="3">
          <cell r="A3">
            <v>1</v>
          </cell>
          <cell r="B3">
            <v>17</v>
          </cell>
        </row>
        <row r="4">
          <cell r="A4">
            <v>2</v>
          </cell>
          <cell r="B4">
            <v>34</v>
          </cell>
        </row>
        <row r="5">
          <cell r="A5">
            <v>3</v>
          </cell>
          <cell r="B5">
            <v>51</v>
          </cell>
        </row>
        <row r="6">
          <cell r="A6">
            <v>4</v>
          </cell>
          <cell r="B6">
            <v>60</v>
          </cell>
        </row>
        <row r="7">
          <cell r="A7">
            <v>5</v>
          </cell>
          <cell r="B7">
            <v>82</v>
          </cell>
        </row>
        <row r="8">
          <cell r="A8">
            <v>6</v>
          </cell>
          <cell r="B8">
            <v>102</v>
          </cell>
        </row>
        <row r="9">
          <cell r="A9">
            <v>7</v>
          </cell>
          <cell r="B9">
            <v>120</v>
          </cell>
        </row>
        <row r="10">
          <cell r="A10">
            <v>8</v>
          </cell>
          <cell r="B10">
            <v>136</v>
          </cell>
        </row>
        <row r="11">
          <cell r="A11">
            <v>9</v>
          </cell>
          <cell r="B11">
            <v>152</v>
          </cell>
        </row>
        <row r="12">
          <cell r="A12">
            <v>10</v>
          </cell>
          <cell r="B12">
            <v>164</v>
          </cell>
        </row>
        <row r="13">
          <cell r="A13">
            <v>11</v>
          </cell>
          <cell r="B13">
            <v>186</v>
          </cell>
        </row>
        <row r="14">
          <cell r="A14">
            <v>12</v>
          </cell>
          <cell r="B14">
            <v>198</v>
          </cell>
        </row>
        <row r="15">
          <cell r="A15">
            <v>13</v>
          </cell>
          <cell r="B15">
            <v>214</v>
          </cell>
        </row>
        <row r="16">
          <cell r="A16">
            <v>14</v>
          </cell>
          <cell r="B16">
            <v>238</v>
          </cell>
        </row>
        <row r="17">
          <cell r="A17">
            <v>15</v>
          </cell>
          <cell r="B17">
            <v>256</v>
          </cell>
        </row>
        <row r="18">
          <cell r="A18">
            <v>16</v>
          </cell>
          <cell r="B18">
            <v>273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hyperlink" Target="https://grf.farm/polar_fox/1.0.0-beta-8/frax.html" TargetMode="External"/><Relationship Id="rId2" Type="http://schemas.openxmlformats.org/officeDocument/2006/relationships/hyperlink" Target="https://grf.farm/polar_fox/1.0.0-beta-8/frax.html" TargetMode="External"/><Relationship Id="rId3" Type="http://schemas.openxmlformats.org/officeDocument/2006/relationships/hyperlink" Target="https://grf.farm/polar_fox/1.0.0-beta-8/frax.html" TargetMode="External"/><Relationship Id="rId4" Type="http://schemas.openxmlformats.org/officeDocument/2006/relationships/hyperlink" Target="https://grf.farm/polar_fox/1.0.0-beta-8/frax.html" TargetMode="External"/><Relationship Id="rId5" Type="http://schemas.openxmlformats.org/officeDocument/2006/relationships/hyperlink" Target="https://grf.farm/polar_fox/1.0.0-beta-8/frax.html" TargetMode="External"/><Relationship Id="rId6" Type="http://schemas.openxmlformats.org/officeDocument/2006/relationships/hyperlink" Target="https://grf.farm/polar_fox/1.0.0-beta-8/frax.html" TargetMode="External"/><Relationship Id="rId7" Type="http://schemas.openxmlformats.org/officeDocument/2006/relationships/hyperlink" Target="https://grf.farm/polar_fox/1.0.0-beta-8/frax.html" TargetMode="External"/><Relationship Id="rId8" Type="http://schemas.openxmlformats.org/officeDocument/2006/relationships/hyperlink" Target="https://grf.farm/polar_fox/1.0.0-beta-8/frax.html" TargetMode="External"/><Relationship Id="rId9" Type="http://schemas.openxmlformats.org/officeDocument/2006/relationships/hyperlink" Target="https://grf.farm/polar_fox/1.0.0-beta-8/frax.html" TargetMode="External"/><Relationship Id="rId10" Type="http://schemas.openxmlformats.org/officeDocument/2006/relationships/hyperlink" Target="https://grf.farm/polar_fox/1.0.0-beta-8/frax.html" TargetMode="External"/><Relationship Id="rId11" Type="http://schemas.openxmlformats.org/officeDocument/2006/relationships/hyperlink" Target="https://grf.farm/polar_fox/1.0.0-beta-8/frax.html" TargetMode="External"/><Relationship Id="rId12" Type="http://schemas.openxmlformats.org/officeDocument/2006/relationships/hyperlink" Target="https://grf.farm/polar_fox/1.0.0-beta-8/frax.html" TargetMode="External"/><Relationship Id="rId13" Type="http://schemas.openxmlformats.org/officeDocument/2006/relationships/hyperlink" Target="https://grf.farm/polar_fox/1.0.0-beta-8/frax.html" TargetMode="External"/><Relationship Id="rId14" Type="http://schemas.openxmlformats.org/officeDocument/2006/relationships/hyperlink" Target="https://grf.farm/polar_fox/1.0.0-beta-8/frax.html" TargetMode="External"/><Relationship Id="rId15" Type="http://schemas.openxmlformats.org/officeDocument/2006/relationships/hyperlink" Target="https://grf.farm/polar_fox/1.0.0-beta-8/frax.html" TargetMode="External"/><Relationship Id="rId16" Type="http://schemas.openxmlformats.org/officeDocument/2006/relationships/hyperlink" Target="https://grf.farm/polar_fox/1.0.0-beta-8/frax.html" TargetMode="External"/><Relationship Id="rId17" Type="http://schemas.openxmlformats.org/officeDocument/2006/relationships/hyperlink" Target="https://grf.farm/polar_fox/1.0.0-beta-8/frax.html" TargetMode="External"/><Relationship Id="rId18" Type="http://schemas.openxmlformats.org/officeDocument/2006/relationships/hyperlink" Target="https://grf.farm/polar_fox/1.0.0-beta-8/frax.html" TargetMode="External"/><Relationship Id="rId19" Type="http://schemas.openxmlformats.org/officeDocument/2006/relationships/hyperlink" Target="https://grf.farm/polar_fox/1.0.0-beta-8/frax.html" TargetMode="External"/><Relationship Id="rId20" Type="http://schemas.openxmlformats.org/officeDocument/2006/relationships/hyperlink" Target="https://grf.farm/polar_fox/1.0.0-beta-8/frax.html" TargetMode="External"/><Relationship Id="rId21" Type="http://schemas.openxmlformats.org/officeDocument/2006/relationships/hyperlink" Target="https://grf.farm/polar_fox/1.0.0-beta-8/frax.html" TargetMode="External"/><Relationship Id="rId22" Type="http://schemas.openxmlformats.org/officeDocument/2006/relationships/hyperlink" Target="https://grf.farm/polar_fox/1.0.0-beta-8/frax.html" TargetMode="External"/><Relationship Id="rId23" Type="http://schemas.openxmlformats.org/officeDocument/2006/relationships/hyperlink" Target="https://grf.farm/polar_fox/1.0.0-beta-8/frax.html" TargetMode="External"/><Relationship Id="rId24" Type="http://schemas.openxmlformats.org/officeDocument/2006/relationships/hyperlink" Target="https://grf.farm/polar_fox/1.0.0-beta-8/frax.html" TargetMode="External"/><Relationship Id="rId25" Type="http://schemas.openxmlformats.org/officeDocument/2006/relationships/hyperlink" Target="https://grf.farm/polar_fox/1.0.0-beta-8/frax.html" TargetMode="External"/><Relationship Id="rId26" Type="http://schemas.openxmlformats.org/officeDocument/2006/relationships/hyperlink" Target="https://grf.farm/polar_fox/1.0.0-beta-8/frax.html" TargetMode="External"/><Relationship Id="rId27" Type="http://schemas.openxmlformats.org/officeDocument/2006/relationships/hyperlink" Target="https://grf.farm/polar_fox/1.0.0-beta-8/frax.html" TargetMode="External"/><Relationship Id="rId28" Type="http://schemas.openxmlformats.org/officeDocument/2006/relationships/hyperlink" Target="https://grf.farm/polar_fox/1.0.0-beta-8/frax.html" TargetMode="External"/><Relationship Id="rId29" Type="http://schemas.openxmlformats.org/officeDocument/2006/relationships/hyperlink" Target="https://grf.farm/polar_fox/1.0.0-beta-8/frax.html" TargetMode="External"/><Relationship Id="rId30" Type="http://schemas.openxmlformats.org/officeDocument/2006/relationships/hyperlink" Target="https://grf.farm/polar_fox/1.0.0-beta-8/frax.html" TargetMode="External"/><Relationship Id="rId31" Type="http://schemas.openxmlformats.org/officeDocument/2006/relationships/hyperlink" Target="https://grf.farm/polar_fox/1.0.0-beta-8/frax.html" TargetMode="External"/><Relationship Id="rId32" Type="http://schemas.openxmlformats.org/officeDocument/2006/relationships/hyperlink" Target="https://grf.farm/polar_fox/1.0.0-beta-8/frax.html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J97"/>
  <sheetViews>
    <sheetView showFormulas="false" showGridLines="true" showRowColHeaders="true" showZeros="true" rightToLeft="false" tabSelected="true" showOutlineSymbols="true" defaultGridColor="true" view="normal" topLeftCell="A1" colorId="64" zoomScale="89" zoomScaleNormal="89" zoomScalePageLayoutView="100" workbookViewId="0">
      <selection pane="topLeft" activeCell="C27" activeCellId="0" sqref="C27"/>
    </sheetView>
  </sheetViews>
  <sheetFormatPr defaultColWidth="8.61328125" defaultRowHeight="13.8" customHeight="true" zeroHeight="false" outlineLevelRow="0" outlineLevelCol="0"/>
  <cols>
    <col collapsed="false" customWidth="true" hidden="false" outlineLevel="0" max="1" min="1" style="1" width="37.15"/>
    <col collapsed="false" customWidth="true" hidden="false" outlineLevel="0" max="2" min="2" style="1" width="28.29"/>
    <col collapsed="false" customWidth="true" hidden="false" outlineLevel="0" max="7" min="3" style="1" width="13.3"/>
    <col collapsed="false" customWidth="true" hidden="false" outlineLevel="0" max="8" min="8" style="1" width="14.7"/>
    <col collapsed="false" customWidth="true" hidden="false" outlineLevel="0" max="9" min="9" style="1" width="19.15"/>
    <col collapsed="false" customWidth="false" hidden="false" outlineLevel="0" max="11" min="10" style="1" width="8.61"/>
    <col collapsed="false" customWidth="true" hidden="false" outlineLevel="0" max="12" min="12" style="1" width="10.78"/>
    <col collapsed="false" customWidth="false" hidden="false" outlineLevel="0" max="13" min="13" style="1" width="8.61"/>
    <col collapsed="false" customWidth="true" hidden="false" outlineLevel="0" max="14" min="14" style="1" width="10.85"/>
    <col collapsed="false" customWidth="true" hidden="false" outlineLevel="0" max="15" min="15" style="2" width="10.32"/>
    <col collapsed="false" customWidth="true" hidden="false" outlineLevel="0" max="22" min="16" style="3" width="2.31"/>
    <col collapsed="false" customWidth="true" hidden="false" outlineLevel="0" max="23" min="23" style="1" width="10"/>
    <col collapsed="false" customWidth="true" hidden="false" outlineLevel="0" max="24" min="24" style="2" width="2.31"/>
    <col collapsed="false" customWidth="true" hidden="false" outlineLevel="0" max="25" min="25" style="1" width="13.3"/>
    <col collapsed="false" customWidth="true" hidden="false" outlineLevel="0" max="26" min="26" style="1" width="18"/>
    <col collapsed="false" customWidth="true" hidden="false" outlineLevel="0" max="27" min="27" style="4" width="8.43"/>
    <col collapsed="false" customWidth="true" hidden="false" outlineLevel="0" max="29" min="28" style="1" width="12.43"/>
    <col collapsed="false" customWidth="true" hidden="false" outlineLevel="0" max="30" min="30" style="1" width="21.43"/>
    <col collapsed="false" customWidth="true" hidden="false" outlineLevel="0" max="31" min="31" style="1" width="20.58"/>
    <col collapsed="false" customWidth="true" hidden="false" outlineLevel="0" max="32" min="32" style="1" width="10.57"/>
    <col collapsed="false" customWidth="true" hidden="false" outlineLevel="0" max="33" min="33" style="1" width="9.3"/>
    <col collapsed="false" customWidth="true" hidden="false" outlineLevel="0" max="34" min="34" style="1" width="10.57"/>
    <col collapsed="false" customWidth="true" hidden="false" outlineLevel="0" max="35" min="35" style="1" width="10.43"/>
    <col collapsed="false" customWidth="true" hidden="false" outlineLevel="0" max="36" min="36" style="5" width="9.14"/>
    <col collapsed="false" customWidth="true" hidden="false" outlineLevel="0" max="37" min="37" style="6" width="13.23"/>
    <col collapsed="false" customWidth="true" hidden="false" outlineLevel="0" max="38" min="38" style="6" width="10.29"/>
    <col collapsed="false" customWidth="true" hidden="false" outlineLevel="0" max="39" min="39" style="1" width="26.86"/>
    <col collapsed="false" customWidth="true" hidden="false" outlineLevel="0" max="40" min="40" style="6" width="18.43"/>
    <col collapsed="false" customWidth="true" hidden="false" outlineLevel="0" max="41" min="41" style="1" width="18.43"/>
    <col collapsed="false" customWidth="true" hidden="false" outlineLevel="0" max="43" min="42" style="7" width="18.43"/>
    <col collapsed="false" customWidth="true" hidden="false" outlineLevel="0" max="44" min="44" style="1" width="31.16"/>
    <col collapsed="false" customWidth="true" hidden="false" outlineLevel="0" max="45" min="45" style="1" width="17"/>
    <col collapsed="false" customWidth="true" hidden="false" outlineLevel="0" max="46" min="46" style="1" width="11.85"/>
    <col collapsed="false" customWidth="true" hidden="false" outlineLevel="0" max="47" min="47" style="1" width="13.15"/>
    <col collapsed="false" customWidth="true" hidden="false" outlineLevel="0" max="49" min="48" style="1" width="9.43"/>
    <col collapsed="false" customWidth="true" hidden="false" outlineLevel="0" max="50" min="50" style="1" width="12.43"/>
    <col collapsed="false" customWidth="true" hidden="false" outlineLevel="0" max="51" min="51" style="6" width="9.43"/>
    <col collapsed="false" customWidth="true" hidden="false" outlineLevel="0" max="52" min="52" style="1" width="18.7"/>
    <col collapsed="false" customWidth="true" hidden="false" outlineLevel="0" max="53" min="53" style="1" width="20.22"/>
    <col collapsed="false" customWidth="true" hidden="false" outlineLevel="0" max="54" min="54" style="8" width="18.13"/>
    <col collapsed="false" customWidth="true" hidden="false" outlineLevel="0" max="55" min="55" style="8" width="20.71"/>
    <col collapsed="false" customWidth="true" hidden="false" outlineLevel="0" max="56" min="56" style="8" width="15.93"/>
    <col collapsed="false" customWidth="true" hidden="false" outlineLevel="0" max="57" min="57" style="8" width="25.24"/>
    <col collapsed="false" customWidth="true" hidden="false" outlineLevel="0" max="58" min="58" style="8" width="13.6"/>
    <col collapsed="false" customWidth="true" hidden="false" outlineLevel="0" max="60" min="59" style="8" width="23.15"/>
    <col collapsed="false" customWidth="true" hidden="false" outlineLevel="0" max="61" min="61" style="8" width="8.86"/>
    <col collapsed="false" customWidth="true" hidden="false" outlineLevel="0" max="62" min="62" style="8" width="11.15"/>
    <col collapsed="false" customWidth="true" hidden="false" outlineLevel="0" max="64" min="63" style="9" width="11"/>
    <col collapsed="false" customWidth="false" hidden="false" outlineLevel="0" max="68" min="65" style="1" width="8.61"/>
    <col collapsed="false" customWidth="true" hidden="false" outlineLevel="0" max="69" min="69" style="1" width="28.67"/>
    <col collapsed="false" customWidth="true" hidden="false" outlineLevel="0" max="70" min="70" style="1" width="20.58"/>
    <col collapsed="false" customWidth="true" hidden="false" outlineLevel="0" max="71" min="71" style="1" width="22.17"/>
    <col collapsed="false" customWidth="true" hidden="false" outlineLevel="0" max="72" min="72" style="1" width="22.29"/>
    <col collapsed="false" customWidth="true" hidden="false" outlineLevel="0" max="73" min="73" style="1" width="31.16"/>
    <col collapsed="false" customWidth="false" hidden="false" outlineLevel="0" max="74" min="74" style="1" width="8.61"/>
    <col collapsed="false" customWidth="true" hidden="false" outlineLevel="0" max="75" min="75" style="1" width="19.15"/>
    <col collapsed="false" customWidth="true" hidden="false" outlineLevel="0" max="76" min="76" style="1" width="16.84"/>
    <col collapsed="false" customWidth="true" hidden="false" outlineLevel="0" max="77" min="77" style="1" width="15.57"/>
    <col collapsed="false" customWidth="true" hidden="false" outlineLevel="0" max="78" min="78" style="10" width="9.14"/>
    <col collapsed="false" customWidth="true" hidden="false" outlineLevel="0" max="79" min="79" style="1" width="15.72"/>
    <col collapsed="false" customWidth="true" hidden="false" outlineLevel="0" max="80" min="80" style="10" width="21.71"/>
    <col collapsed="false" customWidth="true" hidden="false" outlineLevel="0" max="82" min="81" style="10" width="26.29"/>
    <col collapsed="false" customWidth="true" hidden="false" outlineLevel="0" max="83" min="83" style="10" width="29"/>
    <col collapsed="false" customWidth="true" hidden="false" outlineLevel="0" max="84" min="84" style="10" width="38.43"/>
    <col collapsed="false" customWidth="true" hidden="false" outlineLevel="0" max="85" min="85" style="1" width="220.1"/>
    <col collapsed="false" customWidth="true" hidden="false" outlineLevel="0" max="87" min="86" style="10" width="9.14"/>
    <col collapsed="false" customWidth="false" hidden="false" outlineLevel="0" max="16384" min="89" style="1" width="8.61"/>
  </cols>
  <sheetData>
    <row r="1" customFormat="false" ht="13.8" hidden="false" customHeight="false" outlineLevel="0" collapsed="false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2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1" t="s">
        <v>22</v>
      </c>
      <c r="X1" s="12" t="s">
        <v>23</v>
      </c>
      <c r="Y1" s="11" t="s">
        <v>24</v>
      </c>
      <c r="Z1" s="11" t="s">
        <v>25</v>
      </c>
      <c r="AA1" s="14" t="s">
        <v>26</v>
      </c>
      <c r="AB1" s="11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11" t="s">
        <v>32</v>
      </c>
      <c r="AH1" s="11" t="s">
        <v>33</v>
      </c>
      <c r="AI1" s="11" t="s">
        <v>34</v>
      </c>
      <c r="AJ1" s="15" t="s">
        <v>35</v>
      </c>
      <c r="AK1" s="11" t="s">
        <v>36</v>
      </c>
      <c r="AL1" s="11" t="s">
        <v>37</v>
      </c>
      <c r="AM1" s="11" t="s">
        <v>38</v>
      </c>
      <c r="AN1" s="11" t="s">
        <v>39</v>
      </c>
      <c r="AO1" s="11" t="s">
        <v>40</v>
      </c>
      <c r="AP1" s="16" t="s">
        <v>41</v>
      </c>
      <c r="AQ1" s="16" t="s">
        <v>42</v>
      </c>
      <c r="AR1" s="11" t="s">
        <v>43</v>
      </c>
      <c r="AS1" s="11" t="s">
        <v>44</v>
      </c>
      <c r="AT1" s="11" t="s">
        <v>45</v>
      </c>
      <c r="AU1" s="11" t="s">
        <v>46</v>
      </c>
      <c r="AV1" s="11" t="s">
        <v>47</v>
      </c>
      <c r="AW1" s="11" t="s">
        <v>48</v>
      </c>
      <c r="AX1" s="11" t="s">
        <v>49</v>
      </c>
      <c r="AY1" s="11" t="s">
        <v>50</v>
      </c>
      <c r="AZ1" s="11" t="s">
        <v>51</v>
      </c>
      <c r="BA1" s="11" t="s">
        <v>52</v>
      </c>
      <c r="BB1" s="11" t="s">
        <v>53</v>
      </c>
      <c r="BC1" s="11" t="s">
        <v>54</v>
      </c>
      <c r="BD1" s="11" t="s">
        <v>55</v>
      </c>
      <c r="BE1" s="11" t="s">
        <v>56</v>
      </c>
      <c r="BF1" s="11" t="s">
        <v>57</v>
      </c>
      <c r="BG1" s="11" t="s">
        <v>58</v>
      </c>
      <c r="BH1" s="11" t="s">
        <v>59</v>
      </c>
      <c r="BI1" s="11" t="s">
        <v>60</v>
      </c>
      <c r="BJ1" s="11" t="s">
        <v>61</v>
      </c>
      <c r="BK1" s="11" t="s">
        <v>62</v>
      </c>
      <c r="BL1" s="11" t="s">
        <v>63</v>
      </c>
      <c r="BM1" s="11" t="s">
        <v>64</v>
      </c>
      <c r="BN1" s="11" t="s">
        <v>65</v>
      </c>
      <c r="BO1" s="11" t="s">
        <v>66</v>
      </c>
      <c r="BP1" s="11" t="s">
        <v>67</v>
      </c>
      <c r="BQ1" s="11" t="s">
        <v>68</v>
      </c>
      <c r="BR1" s="11" t="s">
        <v>69</v>
      </c>
      <c r="BS1" s="11" t="s">
        <v>70</v>
      </c>
      <c r="BT1" s="11" t="s">
        <v>71</v>
      </c>
      <c r="BU1" s="11" t="s">
        <v>72</v>
      </c>
      <c r="BV1" s="11" t="s">
        <v>73</v>
      </c>
      <c r="BW1" s="11" t="s">
        <v>74</v>
      </c>
      <c r="BX1" s="11" t="s">
        <v>75</v>
      </c>
      <c r="BY1" s="11" t="s">
        <v>76</v>
      </c>
      <c r="BZ1" s="11" t="s">
        <v>77</v>
      </c>
      <c r="CA1" s="11" t="s">
        <v>78</v>
      </c>
      <c r="CB1" s="17" t="s">
        <v>79</v>
      </c>
      <c r="CC1" s="11" t="s">
        <v>80</v>
      </c>
      <c r="CD1" s="11" t="s">
        <v>81</v>
      </c>
      <c r="CE1" s="11" t="s">
        <v>82</v>
      </c>
      <c r="CF1" s="11" t="s">
        <v>83</v>
      </c>
      <c r="CG1" s="11" t="s">
        <v>84</v>
      </c>
      <c r="CH1" s="11" t="s">
        <v>85</v>
      </c>
      <c r="CI1" s="1"/>
    </row>
    <row r="2" customFormat="false" ht="13.8" hidden="false" customHeight="false" outlineLevel="0" collapsed="false">
      <c r="A2" s="1" t="s">
        <v>86</v>
      </c>
      <c r="B2" s="1" t="s">
        <v>87</v>
      </c>
      <c r="C2" s="1" t="n">
        <v>201</v>
      </c>
      <c r="E2" s="1" t="n">
        <v>20</v>
      </c>
      <c r="F2" s="1" t="s">
        <v>88</v>
      </c>
      <c r="G2" s="1" t="s">
        <v>89</v>
      </c>
      <c r="H2" s="1" t="s">
        <v>90</v>
      </c>
      <c r="I2" s="1" t="s">
        <v>91</v>
      </c>
      <c r="J2" s="1" t="n">
        <v>1956</v>
      </c>
      <c r="K2" s="1" t="n">
        <v>1989</v>
      </c>
      <c r="L2" s="1" t="n">
        <v>2004</v>
      </c>
      <c r="M2" s="1" t="n">
        <v>4</v>
      </c>
      <c r="N2" s="1" t="n">
        <v>1000</v>
      </c>
      <c r="W2" s="1" t="n">
        <v>180</v>
      </c>
      <c r="Y2" s="1" t="n">
        <v>5</v>
      </c>
      <c r="Z2" s="1" t="n">
        <v>85</v>
      </c>
      <c r="AA2" s="4" t="n">
        <f aca="false">IF(AND(W2&gt;0,Z2&gt;0),(Z2/((W2+X2)*10)),"")</f>
        <v>0.0472222222222222</v>
      </c>
      <c r="AB2" s="1" t="n">
        <v>75</v>
      </c>
      <c r="AC2" s="1" t="n">
        <f aca="false">ROUND(AB2*1.6, 0)</f>
        <v>120</v>
      </c>
      <c r="AF2" s="1" t="n">
        <v>17.37</v>
      </c>
      <c r="AG2" s="1" t="n">
        <v>18</v>
      </c>
      <c r="AH2" s="1" t="n">
        <v>2.5</v>
      </c>
      <c r="AI2" s="1" t="n">
        <v>3.77</v>
      </c>
      <c r="AJ2" s="5" t="n">
        <v>37</v>
      </c>
      <c r="AK2" s="1" t="str">
        <f aca="false">CONCATENATE(VLOOKUP(AL2, '[1]Voxel Sizes'!$A$2:$B$18,2,FALSE()),"x",INT(AH2*15), "x", INT(AI2*15))</f>
        <v>186x37x56</v>
      </c>
      <c r="AL2" s="1" t="n">
        <f aca="false">ROUND(15*((AG2*10)/256),0)</f>
        <v>11</v>
      </c>
      <c r="AN2" s="1" t="str">
        <f aca="false">CONCATENATE(VLOOKUP(AL2,Constants!$A$2:$C$16,IF(AM2&lt;&gt;"", 3, 2), FALSE()),IF(AM2&lt;&gt;"",CONCATENATE(",",VLOOKUP(AM2,$B:$AN,38,FALSE())),""))</f>
        <v>4,3,4</v>
      </c>
      <c r="AR2" s="1" t="s">
        <v>92</v>
      </c>
      <c r="AT2" s="1" t="s">
        <v>93</v>
      </c>
      <c r="AU2" s="1" t="s">
        <v>94</v>
      </c>
      <c r="AX2" s="1" t="n">
        <v>45</v>
      </c>
      <c r="AY2" s="6" t="n">
        <f aca="false">IF(L2&lt;&gt;"",MAX(16,(L2-J2)+8),"")</f>
        <v>56</v>
      </c>
      <c r="AZ2" s="1" t="n">
        <v>-10</v>
      </c>
      <c r="BA2" s="1" t="n">
        <v>-15</v>
      </c>
      <c r="BB2" s="1" t="n">
        <f aca="false">MIN(AB2/150, 1)*30</f>
        <v>15</v>
      </c>
      <c r="BC2" s="1" t="n">
        <f aca="false">MIN(N2/4000, 1)*20</f>
        <v>5</v>
      </c>
      <c r="BD2" s="1" t="n">
        <f aca="false">MIN(Z2/400,1)*20</f>
        <v>4.25</v>
      </c>
      <c r="BE2" s="4" t="n">
        <f aca="false">1-(MAX(J2-1900, 0)/750)</f>
        <v>0.925333333333333</v>
      </c>
      <c r="BF2" s="1" t="n">
        <f aca="false">((MAX($M2,1)*MIN($AJ2/300,1)))*IF(G2="Wagon",50,10)</f>
        <v>4.93333333333333</v>
      </c>
      <c r="BG2" s="1" t="n">
        <f aca="false">VLOOKUP($H2,Constants!$I:$K, 2, FALSE())</f>
        <v>1</v>
      </c>
      <c r="BH2" s="1" t="n">
        <f aca="false">VLOOKUP($H2,Constants!$I:$K, 3, FALSE())*IF(AND(G2="multiple_unit",AB2&lt;110),0.75,1)</f>
        <v>1.5</v>
      </c>
      <c r="BI2" s="18" t="n">
        <f aca="false">INT(POWER((([1]Constants!$G$2+$BB2+$BC2+$BD2+$BF2)*$BE2)*$BH2, 1.05))+$BA2</f>
        <v>42</v>
      </c>
      <c r="BJ2" s="18" t="n">
        <f aca="false">INT(POWER(((([1]Constants!$G$1+$BB2+$BC2+$BD2+$BF2)*($BE2))*$BG2),IF($G2="wagon",1,1.2)))+$AZ2</f>
        <v>75</v>
      </c>
      <c r="BK2" s="19" t="n">
        <f aca="false">BI2*IF($G2="wagon",62.5,781.25)</f>
        <v>32812.5</v>
      </c>
      <c r="BL2" s="19" t="n">
        <f aca="false">BJ2*IF($G2="wagon",2.73,81.25)</f>
        <v>6093.75</v>
      </c>
      <c r="BQ2" s="1" t="s">
        <v>95</v>
      </c>
      <c r="BT2" s="1" t="n">
        <v>2</v>
      </c>
      <c r="BW2" s="1" t="s">
        <v>96</v>
      </c>
      <c r="BX2" s="1" t="str">
        <f aca="false">VLOOKUP(J2,[1]Eras!$A$2:$C$10, 2, TRUE())</f>
        <v>dsl</v>
      </c>
      <c r="BY2" s="18" t="s">
        <v>97</v>
      </c>
      <c r="BZ2" s="1" t="str">
        <f aca="false">CONCATENATE(BX2,"_",BY2)</f>
        <v>dsl_DMU</v>
      </c>
      <c r="CA2" s="1" t="str">
        <f aca="false">_xlfn.CONCAT(H2, "_",I2)</f>
        <v>diesel_RAIL</v>
      </c>
      <c r="CB2" s="20" t="str">
        <f aca="false" t="array" ref="CB2:CB2">_xlfn.CONCAT("{BLACK}Length: {GOLD}", TEXT(ROUNDUP(IF(AQ2&lt;&gt;"",SUM(VALUE(_xlfn.TEXTSPLIT(AQ2, ","))), SUM(VALUE(_xlfn.TEXTSPLIT(AN2, ",")))*IF(M2, M2, 1))/16, 1), "#,##0.0"), " tiles{}")</f>
        <v>{BLACK}Length: {GOLD}2.8 tiles{}</v>
      </c>
      <c r="CC2" s="1" t="str">
        <f aca="false">VLOOKUP($CA2, Constants!$M:$N, 2, FALSE())</f>
        <v>{BLACK}Powered by: {GOLD}Diesel</v>
      </c>
      <c r="CD2" s="1" t="str">
        <f aca="false">IF(M2&gt;1,_xlfn.CONCAT("{BLACK}Cars: {GOLD}", M2),"")</f>
        <v>{BLACK}Cars: {GOLD}4</v>
      </c>
      <c r="CE2" s="1" t="s">
        <v>98</v>
      </c>
      <c r="CF2" s="1" t="str">
        <f aca="false">IF(BW2="BRAKE","{YELLOW}Speed bonus for slow wagons{}",IF(BU2&gt;190,CONCATENATE("{YELLOW}",INT((BU2-185)/1.85),"% Bonus for long distance travel{}"),IF(AND(BU2&lt;180,BU2&lt;&gt;0),CONCATENATE("{YELLOW}",INT((185-BU2)/1.85),"% Penalty for long distance travel{}"),"")))</f>
        <v/>
      </c>
      <c r="CG2" s="1" t="str">
        <f aca="false">_xlfn.CONCAT(CC2,IF(CC2 &lt;&gt; "", " ", ""),CD2,IF(OR(CD2&lt;&gt;"", CC2&lt;&gt;""), "{}",""), CB2, CF2,"{SILVER}", CE2)</f>
        <v>{BLACK}Powered by: {GOLD}Diesel {BLACK}Cars: {GOLD}4{}{BLACK}Length: {GOLD}2.8 tiles{}{SILVER}Class 201 ‘Hastings’ Units were constructed to a narrow loading gauge to work through a number of limited clearance tunnels in the southern region. Southern DEMUs of the time had their engines mounted above the frames.</v>
      </c>
      <c r="CH2" s="1"/>
      <c r="CI2" s="1"/>
    </row>
    <row r="3" customFormat="false" ht="13.8" hidden="false" customHeight="false" outlineLevel="0" collapsed="false">
      <c r="A3" s="1" t="s">
        <v>99</v>
      </c>
      <c r="B3" s="1" t="s">
        <v>100</v>
      </c>
      <c r="C3" s="1" t="n">
        <v>202</v>
      </c>
      <c r="D3" s="1" t="n">
        <v>201</v>
      </c>
      <c r="E3" s="1" t="n">
        <v>22</v>
      </c>
      <c r="F3" s="1" t="s">
        <v>88</v>
      </c>
      <c r="G3" s="1" t="s">
        <v>89</v>
      </c>
      <c r="H3" s="1" t="s">
        <v>90</v>
      </c>
      <c r="I3" s="1" t="s">
        <v>91</v>
      </c>
      <c r="J3" s="1" t="n">
        <v>1956</v>
      </c>
      <c r="K3" s="1" t="n">
        <v>1989</v>
      </c>
      <c r="L3" s="1" t="n">
        <v>2004</v>
      </c>
      <c r="M3" s="1" t="n">
        <v>6</v>
      </c>
      <c r="N3" s="1" t="n">
        <v>1000</v>
      </c>
      <c r="W3" s="1" t="n">
        <v>238</v>
      </c>
      <c r="Y3" s="1" t="n">
        <v>5</v>
      </c>
      <c r="Z3" s="1" t="n">
        <v>85</v>
      </c>
      <c r="AA3" s="4" t="n">
        <f aca="false">IF(AND(W3&gt;0,Z3&gt;0),(Z3/((W3+X3)*10)),"")</f>
        <v>0.0357142857142857</v>
      </c>
      <c r="AB3" s="1" t="n">
        <v>75</v>
      </c>
      <c r="AC3" s="1" t="n">
        <f aca="false">ROUND(AB3*1.6, 0)</f>
        <v>120</v>
      </c>
      <c r="AF3" s="1" t="n">
        <v>17.37</v>
      </c>
      <c r="AG3" s="1" t="n">
        <v>18</v>
      </c>
      <c r="AH3" s="1" t="n">
        <v>2.5</v>
      </c>
      <c r="AI3" s="1" t="n">
        <v>3.77</v>
      </c>
      <c r="AJ3" s="5" t="n">
        <v>42</v>
      </c>
      <c r="AK3" s="1" t="str">
        <f aca="false">CONCATENATE(VLOOKUP(AL3, '[1]Voxel Sizes'!$A$2:$B$18,2,FALSE()),"x",INT(AH3*15), "x", INT(AI3*15))</f>
        <v>186x37x56</v>
      </c>
      <c r="AL3" s="1" t="n">
        <f aca="false">ROUND(15*((AG3*10)/256),0)</f>
        <v>11</v>
      </c>
      <c r="AN3" s="1" t="str">
        <f aca="false">CONCATENATE(VLOOKUP(AL3,Constants!$A$2:$C$16,IF(AM3&lt;&gt;"", 3, 2), FALSE()),IF(AM3&lt;&gt;"",CONCATENATE(",",VLOOKUP(AM3,$B:$AN,38,FALSE())),""))</f>
        <v>4,3,4</v>
      </c>
      <c r="AR3" s="1" t="s">
        <v>101</v>
      </c>
      <c r="AT3" s="1" t="s">
        <v>102</v>
      </c>
      <c r="AU3" s="1" t="s">
        <v>94</v>
      </c>
      <c r="AX3" s="1" t="n">
        <v>45</v>
      </c>
      <c r="AY3" s="6" t="n">
        <f aca="false">IF(L3&lt;&gt;"",MAX(16,(L3-J3)+8),"")</f>
        <v>56</v>
      </c>
      <c r="AZ3" s="1" t="n">
        <v>-10</v>
      </c>
      <c r="BA3" s="1" t="n">
        <v>-15</v>
      </c>
      <c r="BB3" s="1" t="n">
        <f aca="false">MIN(AB3/150, 1)*30</f>
        <v>15</v>
      </c>
      <c r="BC3" s="1" t="n">
        <f aca="false">MIN(N3/4000, 1)*20</f>
        <v>5</v>
      </c>
      <c r="BD3" s="1" t="n">
        <f aca="false">MIN(Z3/400,1)*20</f>
        <v>4.25</v>
      </c>
      <c r="BE3" s="4" t="n">
        <f aca="false">1-(MAX(J3-1900, 0)/750)</f>
        <v>0.925333333333333</v>
      </c>
      <c r="BF3" s="1" t="n">
        <f aca="false">((MAX($M3,1)*MIN($AJ3/300,1)))*IF(G3="Wagon",50,10)</f>
        <v>8.4</v>
      </c>
      <c r="BG3" s="1" t="n">
        <f aca="false">VLOOKUP($H3,Constants!$I:$K, 2, FALSE())</f>
        <v>1</v>
      </c>
      <c r="BH3" s="1" t="n">
        <f aca="false">VLOOKUP($H3,Constants!$I:$K, 3, FALSE())*IF(AND(G3="multiple_unit",AB3&lt;110),0.75,1)</f>
        <v>1.5</v>
      </c>
      <c r="BI3" s="18" t="n">
        <f aca="false">INT(POWER((([1]Constants!$G$2+$BB3+$BC3+$BD3+$BF3)*$BE3)*$BH3, 1.05))+$BA3</f>
        <v>48</v>
      </c>
      <c r="BJ3" s="18" t="n">
        <f aca="false">INT(POWER(((([1]Constants!$G$1+$BB3+$BC3+$BD3+$BF3)*($BE3))*$BG3),IF($G3="wagon",1,1.2)))+$AZ3</f>
        <v>84</v>
      </c>
      <c r="BK3" s="19" t="n">
        <f aca="false">BI3*IF($G3="wagon",62.5,781.25)</f>
        <v>37500</v>
      </c>
      <c r="BL3" s="19" t="n">
        <f aca="false">BJ3*IF($G3="wagon",2.73,81.25)</f>
        <v>6825</v>
      </c>
      <c r="BQ3" s="21" t="s">
        <v>103</v>
      </c>
      <c r="BT3" s="1" t="n">
        <v>2</v>
      </c>
      <c r="BW3" s="1" t="s">
        <v>96</v>
      </c>
      <c r="BX3" s="1" t="str">
        <f aca="false">VLOOKUP(J3,[1]Eras!$A$2:$C$10, 2, TRUE())</f>
        <v>dsl</v>
      </c>
      <c r="BY3" s="18" t="s">
        <v>97</v>
      </c>
      <c r="BZ3" s="1" t="str">
        <f aca="false">CONCATENATE(BX3,"_",BY3)</f>
        <v>dsl_DMU</v>
      </c>
      <c r="CA3" s="1" t="str">
        <f aca="false">_xlfn.CONCAT(H3, "_",I3)</f>
        <v>diesel_RAIL</v>
      </c>
      <c r="CB3" s="20" t="str">
        <f aca="false" t="array" ref="CB3:CB3">_xlfn.CONCAT("{BLACK}Length: {GOLD}", TEXT(ROUNDUP(IF(AQ3&lt;&gt;"",SUM(VALUE(_xlfn.TEXTSPLIT(AQ3, ","))), SUM(VALUE(_xlfn.TEXTSPLIT(AN3, ",")))*IF(M3, M3, 1))/16, 1), "#,##0.0"), " tiles{}")</f>
        <v>{BLACK}Length: {GOLD}4.2 tiles{}</v>
      </c>
      <c r="CC3" s="1" t="str">
        <f aca="false">VLOOKUP($CA3, Constants!$M:$N, 2, FALSE())</f>
        <v>{BLACK}Powered by: {GOLD}Diesel</v>
      </c>
      <c r="CD3" s="1" t="str">
        <f aca="false">IF(M3&gt;1,_xlfn.CONCAT("{BLACK}Cars: {GOLD}", M3),"")</f>
        <v>{BLACK}Cars: {GOLD}6</v>
      </c>
      <c r="CE3" s="1" t="s">
        <v>98</v>
      </c>
      <c r="CF3" s="1" t="str">
        <f aca="false">IF(BW3="BRAKE","{YELLOW}Speed bonus for slow wagons{}",IF(BU3&gt;190,CONCATENATE("{YELLOW}",INT((BU3-185)/1.85),"% Bonus for long distance travel{}"),IF(AND(BU3&lt;180,BU3&lt;&gt;0),CONCATENATE("{YELLOW}",INT((185-BU3)/1.85),"% Penalty for long distance travel{}"),"")))</f>
        <v/>
      </c>
      <c r="CG3" s="1" t="str">
        <f aca="false">_xlfn.CONCAT(CC3,IF(CC3 &lt;&gt; "", " ", ""),CD3,IF(OR(CD3&lt;&gt;"", CC3&lt;&gt;""), "{}",""), CB3, CF3,"{SILVER}", CE3)</f>
        <v>{BLACK}Powered by: {GOLD}Diesel {BLACK}Cars: {GOLD}6{}{BLACK}Length: {GOLD}4.2 tiles{}{SILVER}Class 201 ‘Hastings’ Units were constructed to a narrow loading gauge to work through a number of limited clearance tunnels in the southern region. Southern DEMUs of the time had their engines mounted above the frames.</v>
      </c>
      <c r="CH3" s="1"/>
      <c r="CI3" s="1"/>
    </row>
    <row r="4" customFormat="false" ht="13.8" hidden="false" customHeight="false" outlineLevel="0" collapsed="false">
      <c r="A4" s="1" t="s">
        <v>104</v>
      </c>
      <c r="B4" s="1" t="s">
        <v>105</v>
      </c>
      <c r="C4" s="1" t="n">
        <v>205</v>
      </c>
      <c r="E4" s="1" t="n">
        <v>24</v>
      </c>
      <c r="F4" s="1" t="s">
        <v>88</v>
      </c>
      <c r="G4" s="1" t="s">
        <v>89</v>
      </c>
      <c r="H4" s="1" t="s">
        <v>90</v>
      </c>
      <c r="I4" s="1" t="s">
        <v>91</v>
      </c>
      <c r="J4" s="1" t="n">
        <v>1957</v>
      </c>
      <c r="K4" s="1" t="n">
        <v>1989</v>
      </c>
      <c r="L4" s="1" t="n">
        <v>2004</v>
      </c>
      <c r="M4" s="1" t="n">
        <v>3</v>
      </c>
      <c r="N4" s="1" t="n">
        <v>600</v>
      </c>
      <c r="W4" s="1" t="n">
        <f aca="false">32.5+25</f>
        <v>57.5</v>
      </c>
      <c r="Y4" s="1" t="n">
        <v>5</v>
      </c>
      <c r="Z4" s="1" t="n">
        <v>85</v>
      </c>
      <c r="AA4" s="4" t="n">
        <f aca="false">IF(AND(W4&gt;0,Z4&gt;0),(Z4/((W4+X4)*10)),"")</f>
        <v>0.147826086956522</v>
      </c>
      <c r="AB4" s="1" t="n">
        <v>75</v>
      </c>
      <c r="AC4" s="1" t="n">
        <f aca="false">ROUND(AB4*1.6, 0)</f>
        <v>120</v>
      </c>
      <c r="AF4" s="1" t="n">
        <v>19.5</v>
      </c>
      <c r="AG4" s="1" t="n">
        <v>20</v>
      </c>
      <c r="AH4" s="1" t="n">
        <v>2.7</v>
      </c>
      <c r="AI4" s="1" t="n">
        <v>3.77</v>
      </c>
      <c r="AJ4" s="5" t="n">
        <v>51</v>
      </c>
      <c r="AK4" s="1" t="str">
        <f aca="false">CONCATENATE(VLOOKUP(AL4, '[1]Voxel Sizes'!$A$2:$B$18,2,FALSE()),"x",INT(AH4*15), "x", INT(AI4*15))</f>
        <v>198x40x56</v>
      </c>
      <c r="AL4" s="1" t="n">
        <f aca="false">ROUND(15*((AG4*10)/256),0)</f>
        <v>12</v>
      </c>
      <c r="AN4" s="1" t="str">
        <f aca="false">CONCATENATE(VLOOKUP(AL4,Constants!$A$2:$C$16,IF(AM4&lt;&gt;"", 3, 2), FALSE()),IF(AM4&lt;&gt;"",CONCATENATE(",",VLOOKUP(AM4,$B:$AN,38,FALSE())),""))</f>
        <v>4,4,4</v>
      </c>
      <c r="AR4" s="1" t="s">
        <v>106</v>
      </c>
      <c r="AT4" s="1" t="s">
        <v>107</v>
      </c>
      <c r="AU4" s="1" t="s">
        <v>108</v>
      </c>
      <c r="AX4" s="1" t="n">
        <v>45</v>
      </c>
      <c r="AY4" s="6" t="n">
        <f aca="false">IF(L4&lt;&gt;"",MAX(16,(L4-J4)+8),"")</f>
        <v>55</v>
      </c>
      <c r="AZ4" s="1" t="n">
        <v>-10</v>
      </c>
      <c r="BA4" s="1" t="n">
        <v>-15</v>
      </c>
      <c r="BB4" s="1" t="n">
        <f aca="false">MIN(AB4/150, 1)*30</f>
        <v>15</v>
      </c>
      <c r="BC4" s="1" t="n">
        <f aca="false">MIN(N4/4000, 1)*20</f>
        <v>3</v>
      </c>
      <c r="BD4" s="1" t="n">
        <f aca="false">MIN(Z4/400,1)*20</f>
        <v>4.25</v>
      </c>
      <c r="BE4" s="4" t="n">
        <f aca="false">1-(MAX(J4-1900, 0)/750)</f>
        <v>0.924</v>
      </c>
      <c r="BF4" s="1" t="n">
        <f aca="false">((MAX($M4,1)*MIN($AJ4/300,1)))*IF(G4="Wagon",50,10)</f>
        <v>5.1</v>
      </c>
      <c r="BG4" s="1" t="n">
        <f aca="false">VLOOKUP($H4,Constants!$I:$K, 2, FALSE())</f>
        <v>1</v>
      </c>
      <c r="BH4" s="1" t="n">
        <f aca="false">VLOOKUP($H4,Constants!$I:$K, 3, FALSE())*IF(AND(G4="multiple_unit",AB4&lt;110),0.75,1)</f>
        <v>1.5</v>
      </c>
      <c r="BI4" s="18" t="n">
        <f aca="false">INT(POWER((([1]Constants!$G$2+$BB4+$BC4+$BD4+$BF4)*$BE4)*$BH4, 1.05))+$BA4</f>
        <v>39</v>
      </c>
      <c r="BJ4" s="18" t="n">
        <f aca="false">INT(POWER(((([1]Constants!$G$1+$BB4+$BC4+$BD4+$BF4)*($BE4))*$BG4),IF($G4="wagon",1,1.2)))+$AZ4</f>
        <v>71</v>
      </c>
      <c r="BK4" s="19" t="n">
        <f aca="false">BI4*IF($G4="wagon",62.5,781.25)</f>
        <v>30468.75</v>
      </c>
      <c r="BL4" s="19" t="n">
        <f aca="false">BJ4*IF($G4="wagon",2.73,81.25)</f>
        <v>5768.75</v>
      </c>
      <c r="BQ4" s="1" t="s">
        <v>109</v>
      </c>
      <c r="BT4" s="1" t="n">
        <v>2</v>
      </c>
      <c r="BW4" s="1" t="s">
        <v>96</v>
      </c>
      <c r="BX4" s="1" t="str">
        <f aca="false">VLOOKUP(J4,[1]Eras!$A$2:$C$10, 2, TRUE())</f>
        <v>dsl</v>
      </c>
      <c r="BY4" s="18" t="s">
        <v>97</v>
      </c>
      <c r="BZ4" s="1" t="str">
        <f aca="false">CONCATENATE(BX4,"_",BY4)</f>
        <v>dsl_DMU</v>
      </c>
      <c r="CA4" s="1" t="str">
        <f aca="false">_xlfn.CONCAT(H4, "_",I4)</f>
        <v>diesel_RAIL</v>
      </c>
      <c r="CB4" s="20" t="str">
        <f aca="false" t="array" ref="CB4:CB4">_xlfn.CONCAT("{BLACK}Length: {GOLD}", TEXT(ROUNDUP(IF(AQ4&lt;&gt;"",SUM(VALUE(_xlfn.TEXTSPLIT(AQ4, ","))), SUM(VALUE(_xlfn.TEXTSPLIT(AN4, ",")))*IF(M4, M4, 1))/16, 1), "#,##0.0"), " tiles{}")</f>
        <v>{BLACK}Length: {GOLD}2.3 tiles{}</v>
      </c>
      <c r="CC4" s="1" t="str">
        <f aca="false">VLOOKUP($CA4, Constants!$M:$N, 2, FALSE())</f>
        <v>{BLACK}Powered by: {GOLD}Diesel</v>
      </c>
      <c r="CD4" s="1" t="str">
        <f aca="false">IF(M4&gt;1,_xlfn.CONCAT("{BLACK}Cars: {GOLD}", M4),"")</f>
        <v>{BLACK}Cars: {GOLD}3</v>
      </c>
      <c r="CE4" s="1" t="s">
        <v>110</v>
      </c>
      <c r="CF4" s="1" t="str">
        <f aca="false">IF(BW4="BRAKE","{YELLOW}Speed bonus for slow wagons{}",IF(BU4&gt;190,CONCATENATE("{YELLOW}",INT((BU4-185)/1.85),"% Bonus for long distance travel{}"),IF(AND(BU4&lt;180,BU4&lt;&gt;0),CONCATENATE("{YELLOW}",INT((185-BU4)/1.85),"% Penalty for long distance travel{}"),"")))</f>
        <v/>
      </c>
      <c r="CG4" s="1" t="str">
        <f aca="false">_xlfn.CONCAT(CC4,IF(CC4 &lt;&gt; "", " ", ""),CD4,IF(OR(CD4&lt;&gt;"", CC4&lt;&gt;""), "{}",""), CB4, CF4,"{SILVER}", CE4)</f>
        <v>{BLACK}Powered by: {GOLD}Diesel {BLACK}Cars: {GOLD}3{}{BLACK}Length: {GOLD}2.3 tiles{}{SILVER}Class 205 units were a relatively numerous class of high-density non-corridor multiple units that worked services across Hampshire. In many ways they were the classic ‘Thumper’ unit.</v>
      </c>
      <c r="CH4" s="1"/>
      <c r="CI4" s="1"/>
    </row>
    <row r="5" s="21" customFormat="true" ht="13.8" hidden="false" customHeight="false" outlineLevel="0" collapsed="false">
      <c r="A5" s="1" t="s">
        <v>111</v>
      </c>
      <c r="B5" s="1" t="s">
        <v>112</v>
      </c>
      <c r="C5" s="1" t="n">
        <v>206</v>
      </c>
      <c r="D5" s="1" t="n">
        <v>205</v>
      </c>
      <c r="E5" s="1" t="n">
        <v>26</v>
      </c>
      <c r="F5" s="1" t="s">
        <v>88</v>
      </c>
      <c r="G5" s="1" t="s">
        <v>89</v>
      </c>
      <c r="H5" s="1" t="s">
        <v>90</v>
      </c>
      <c r="I5" s="1" t="s">
        <v>91</v>
      </c>
      <c r="J5" s="1" t="n">
        <v>1957</v>
      </c>
      <c r="K5" s="1" t="n">
        <v>1989</v>
      </c>
      <c r="L5" s="1" t="n">
        <v>2004</v>
      </c>
      <c r="M5" s="1" t="n">
        <v>2</v>
      </c>
      <c r="N5" s="1" t="n">
        <v>600</v>
      </c>
      <c r="O5" s="2"/>
      <c r="P5" s="3"/>
      <c r="Q5" s="3"/>
      <c r="R5" s="3"/>
      <c r="S5" s="3"/>
      <c r="T5" s="3"/>
      <c r="U5" s="3"/>
      <c r="V5" s="3"/>
      <c r="W5" s="1" t="n">
        <f aca="false">32.5+25</f>
        <v>57.5</v>
      </c>
      <c r="X5" s="2"/>
      <c r="Y5" s="1" t="n">
        <v>5</v>
      </c>
      <c r="Z5" s="1" t="n">
        <v>85</v>
      </c>
      <c r="AA5" s="4" t="n">
        <f aca="false">IF(AND(W5&gt;0,Z5&gt;0),(Z5/((W5+X5)*10)),"")</f>
        <v>0.147826086956522</v>
      </c>
      <c r="AB5" s="1" t="n">
        <v>75</v>
      </c>
      <c r="AC5" s="1" t="n">
        <f aca="false">ROUND(AB5*1.6, 0)</f>
        <v>120</v>
      </c>
      <c r="AD5" s="1"/>
      <c r="AE5" s="1"/>
      <c r="AF5" s="1" t="n">
        <v>19.5</v>
      </c>
      <c r="AG5" s="1" t="n">
        <v>20</v>
      </c>
      <c r="AH5" s="1" t="n">
        <v>2.7</v>
      </c>
      <c r="AI5" s="1" t="n">
        <v>3.77</v>
      </c>
      <c r="AJ5" s="5" t="n">
        <v>51</v>
      </c>
      <c r="AK5" s="1" t="str">
        <f aca="false">CONCATENATE(VLOOKUP(AL5, '[1]Voxel Sizes'!$A$2:$B$18,2,FALSE()),"x",INT(AH5*15), "x", INT(AI5*15))</f>
        <v>198x40x56</v>
      </c>
      <c r="AL5" s="1" t="n">
        <f aca="false">ROUND(15*((AG5*10)/256),0)</f>
        <v>12</v>
      </c>
      <c r="AM5" s="1"/>
      <c r="AN5" s="1" t="str">
        <f aca="false">CONCATENATE(VLOOKUP(AL5,Constants!$A$2:$C$16,IF(AM5&lt;&gt;"", 3, 2), FALSE()),IF(AM5&lt;&gt;"",CONCATENATE(",",VLOOKUP(AM5,$B:$AN,38,FALSE())),""))</f>
        <v>4,4,4</v>
      </c>
      <c r="AO5" s="1"/>
      <c r="AP5" s="7"/>
      <c r="AQ5" s="7"/>
      <c r="AR5" s="1" t="s">
        <v>113</v>
      </c>
      <c r="AS5" s="1"/>
      <c r="AT5" s="1" t="s">
        <v>114</v>
      </c>
      <c r="AU5" s="1" t="s">
        <v>108</v>
      </c>
      <c r="AV5" s="1"/>
      <c r="AW5" s="1"/>
      <c r="AX5" s="1" t="n">
        <v>45</v>
      </c>
      <c r="AY5" s="6" t="n">
        <f aca="false">IF(L5&lt;&gt;"",MAX(16,(L5-J5)+8),"")</f>
        <v>55</v>
      </c>
      <c r="AZ5" s="1" t="n">
        <v>-10</v>
      </c>
      <c r="BA5" s="1" t="n">
        <v>-15</v>
      </c>
      <c r="BB5" s="1" t="n">
        <f aca="false">MIN(AB5/150, 1)*30</f>
        <v>15</v>
      </c>
      <c r="BC5" s="1" t="n">
        <f aca="false">MIN(N5/4000, 1)*20</f>
        <v>3</v>
      </c>
      <c r="BD5" s="1" t="n">
        <f aca="false">MIN(Z5/400,1)*20</f>
        <v>4.25</v>
      </c>
      <c r="BE5" s="4" t="n">
        <f aca="false">1-(MAX(J5-1900, 0)/750)</f>
        <v>0.924</v>
      </c>
      <c r="BF5" s="1" t="n">
        <f aca="false">((MAX($M5,1)*MIN($AJ5/300,1)))*IF(G5="Wagon",50,10)</f>
        <v>3.4</v>
      </c>
      <c r="BG5" s="1" t="n">
        <f aca="false">VLOOKUP($H5,Constants!$I:$K, 2, FALSE())</f>
        <v>1</v>
      </c>
      <c r="BH5" s="1" t="n">
        <f aca="false">VLOOKUP($H5,Constants!$I:$K, 3, FALSE())*IF(AND(G5="multiple_unit",AB5&lt;110),0.75,1)</f>
        <v>1.5</v>
      </c>
      <c r="BI5" s="18" t="n">
        <f aca="false">INT(POWER((([1]Constants!$G$2+$BB5+$BC5+$BD5+$BF5)*$BE5)*$BH5, 1.05))+$BA5</f>
        <v>36</v>
      </c>
      <c r="BJ5" s="18" t="n">
        <f aca="false">INT(POWER(((([1]Constants!$G$1+$BB5+$BC5+$BD5+$BF5)*($BE5))*$BG5),IF($G5="wagon",1,1.2)))+$AZ5</f>
        <v>67</v>
      </c>
      <c r="BK5" s="19" t="n">
        <f aca="false">BI5*IF($G5="wagon",62.5,781.25)</f>
        <v>28125</v>
      </c>
      <c r="BL5" s="19" t="n">
        <f aca="false">BJ5*IF($G5="wagon",2.73,81.25)</f>
        <v>5443.75</v>
      </c>
      <c r="BM5" s="1"/>
      <c r="BN5" s="1"/>
      <c r="BO5" s="1"/>
      <c r="BP5" s="1"/>
      <c r="BQ5" s="1" t="s">
        <v>115</v>
      </c>
      <c r="BR5" s="1"/>
      <c r="BS5" s="1"/>
      <c r="BT5" s="1" t="n">
        <v>2</v>
      </c>
      <c r="BU5" s="1"/>
      <c r="BV5" s="1"/>
      <c r="BW5" s="1" t="s">
        <v>96</v>
      </c>
      <c r="BX5" s="1" t="str">
        <f aca="false">VLOOKUP(J5,[1]Eras!$A$2:$C$10, 2, TRUE())</f>
        <v>dsl</v>
      </c>
      <c r="BY5" s="18" t="s">
        <v>97</v>
      </c>
      <c r="BZ5" s="1" t="str">
        <f aca="false">CONCATENATE(BX5,"_",BY5)</f>
        <v>dsl_DMU</v>
      </c>
      <c r="CA5" s="1" t="str">
        <f aca="false">_xlfn.CONCAT(H5, "_",I5)</f>
        <v>diesel_RAIL</v>
      </c>
      <c r="CB5" s="20" t="str">
        <f aca="false" t="array" ref="CB5:CB5">_xlfn.CONCAT("{BLACK}Length: {GOLD}", TEXT(ROUNDUP(IF(AQ5&lt;&gt;"",SUM(VALUE(_xlfn.TEXTSPLIT(AQ5, ","))), SUM(VALUE(_xlfn.TEXTSPLIT(AN5, ",")))*IF(M5, M5, 1))/16, 1), "#,##0.0"), " tiles{}")</f>
        <v>{BLACK}Length: {GOLD}1.5 tiles{}</v>
      </c>
      <c r="CC5" s="1" t="str">
        <f aca="false">VLOOKUP($CA5, Constants!$M:$N, 2, FALSE())</f>
        <v>{BLACK}Powered by: {GOLD}Diesel</v>
      </c>
      <c r="CD5" s="1" t="str">
        <f aca="false">IF(M5&gt;1,_xlfn.CONCAT("{BLACK}Cars: {GOLD}", M5),"")</f>
        <v>{BLACK}Cars: {GOLD}2</v>
      </c>
      <c r="CE5" s="1" t="s">
        <v>110</v>
      </c>
      <c r="CF5" s="1" t="str">
        <f aca="false">IF(BW5="BRAKE","{YELLOW}Speed bonus for slow wagons{}",IF(BU5&gt;190,CONCATENATE("{YELLOW}",INT((BU5-185)/1.85),"% Bonus for long distance travel{}"),IF(AND(BU5&lt;180,BU5&lt;&gt;0),CONCATENATE("{YELLOW}",INT((185-BU5)/1.85),"% Penalty for long distance travel{}"),"")))</f>
        <v/>
      </c>
      <c r="CG5" s="1" t="str">
        <f aca="false">_xlfn.CONCAT(CC5,IF(CC5 &lt;&gt; "", " ", ""),CD5,IF(OR(CD5&lt;&gt;"", CC5&lt;&gt;""), "{}",""), CB5, CF5,"{SILVER}", CE5)</f>
        <v>{BLACK}Powered by: {GOLD}Diesel {BLACK}Cars: {GOLD}2{}{BLACK}Length: {GOLD}1.5 tiles{}{SILVER}Class 205 units were a relatively numerous class of high-density non-corridor multiple units that worked services across Hampshire. In many ways they were the classic ‘Thumper’ unit.</v>
      </c>
      <c r="CH5" s="1"/>
      <c r="CI5" s="1"/>
      <c r="CJ5" s="22"/>
    </row>
    <row r="6" s="21" customFormat="true" ht="13.8" hidden="false" customHeight="false" outlineLevel="0" collapsed="false">
      <c r="A6" s="1" t="s">
        <v>116</v>
      </c>
      <c r="B6" s="1" t="s">
        <v>117</v>
      </c>
      <c r="C6" s="1" t="n">
        <v>411</v>
      </c>
      <c r="D6" s="1"/>
      <c r="E6" s="1" t="n">
        <v>413</v>
      </c>
      <c r="F6" s="1" t="s">
        <v>88</v>
      </c>
      <c r="G6" s="1" t="s">
        <v>89</v>
      </c>
      <c r="H6" s="1" t="s">
        <v>118</v>
      </c>
      <c r="I6" s="1" t="s">
        <v>119</v>
      </c>
      <c r="J6" s="1" t="n">
        <v>1956</v>
      </c>
      <c r="K6" s="1" t="n">
        <v>1989</v>
      </c>
      <c r="L6" s="1" t="n">
        <v>2004</v>
      </c>
      <c r="M6" s="1" t="n">
        <v>4</v>
      </c>
      <c r="N6" s="1" t="n">
        <v>500</v>
      </c>
      <c r="O6" s="2"/>
      <c r="P6" s="3"/>
      <c r="Q6" s="3"/>
      <c r="R6" s="3"/>
      <c r="S6" s="3"/>
      <c r="T6" s="3"/>
      <c r="U6" s="3"/>
      <c r="V6" s="3"/>
      <c r="W6" s="1" t="n">
        <v>46.2</v>
      </c>
      <c r="X6" s="2"/>
      <c r="Y6" s="1" t="n">
        <v>5</v>
      </c>
      <c r="Z6" s="1" t="n">
        <v>95</v>
      </c>
      <c r="AA6" s="4" t="n">
        <f aca="false">IF(AND(W6&gt;0,Z6&gt;0),(Z6/((W6+X6)*10)),"")</f>
        <v>0.205627705627706</v>
      </c>
      <c r="AB6" s="1" t="n">
        <v>90</v>
      </c>
      <c r="AC6" s="1" t="n">
        <f aca="false">ROUND(AB6*1.6, 0)</f>
        <v>144</v>
      </c>
      <c r="AD6" s="1"/>
      <c r="AE6" s="1"/>
      <c r="AF6" s="1" t="n">
        <v>19.64</v>
      </c>
      <c r="AG6" s="1" t="n">
        <v>20</v>
      </c>
      <c r="AH6" s="1" t="n">
        <v>2.7</v>
      </c>
      <c r="AI6" s="1" t="n">
        <v>3.77</v>
      </c>
      <c r="AJ6" s="5" t="n">
        <v>56</v>
      </c>
      <c r="AK6" s="1" t="str">
        <f aca="false">CONCATENATE(VLOOKUP(AL6, '[1]Voxel Sizes'!$A$2:$B$18,2,FALSE()),"x",INT(AH6*15), "x", INT(AI6*15))</f>
        <v>198x40x56</v>
      </c>
      <c r="AL6" s="1" t="n">
        <f aca="false">ROUND(15*((AG6*10)/256),0)</f>
        <v>12</v>
      </c>
      <c r="AM6" s="1"/>
      <c r="AN6" s="1" t="str">
        <f aca="false">CONCATENATE(VLOOKUP(AL6,Constants!$A$2:$C$16,IF(AM6&lt;&gt;"", 3, 2), FALSE()),IF(AM6&lt;&gt;"",CONCATENATE(",",VLOOKUP(AM6,$B:$AN,38,FALSE())),""))</f>
        <v>4,4,4</v>
      </c>
      <c r="AO6" s="1"/>
      <c r="AP6" s="7"/>
      <c r="AQ6" s="7"/>
      <c r="AR6" s="1" t="s">
        <v>120</v>
      </c>
      <c r="AS6" s="1"/>
      <c r="AT6" s="1" t="s">
        <v>121</v>
      </c>
      <c r="AU6" s="1" t="s">
        <v>122</v>
      </c>
      <c r="AV6" s="1"/>
      <c r="AW6" s="1"/>
      <c r="AX6" s="1" t="n">
        <v>45</v>
      </c>
      <c r="AY6" s="6" t="n">
        <f aca="false">IF(L6&lt;&gt;"",MAX(16,(L6-J6)+8),"")</f>
        <v>56</v>
      </c>
      <c r="AZ6" s="1"/>
      <c r="BA6" s="1" t="n">
        <v>-45</v>
      </c>
      <c r="BB6" s="1" t="n">
        <f aca="false">MIN(AB6/150, 1)*30</f>
        <v>18</v>
      </c>
      <c r="BC6" s="1" t="n">
        <f aca="false">MIN(N6/4000, 1)*20</f>
        <v>2.5</v>
      </c>
      <c r="BD6" s="1" t="n">
        <f aca="false">MIN(Z6/400,1)*20</f>
        <v>4.75</v>
      </c>
      <c r="BE6" s="4" t="n">
        <f aca="false">1-(MAX(J6-1900, 0)/750)</f>
        <v>0.925333333333333</v>
      </c>
      <c r="BF6" s="1" t="n">
        <f aca="false">((MAX($M6,1)*MIN($AJ6/300,1)))*IF(G6="Wagon",50,10)</f>
        <v>7.46666666666667</v>
      </c>
      <c r="BG6" s="1" t="n">
        <f aca="false">VLOOKUP($H6,Constants!$I:$K, 2, FALSE())</f>
        <v>0.85</v>
      </c>
      <c r="BH6" s="1" t="n">
        <f aca="false">VLOOKUP($H6,Constants!$I:$K, 3, FALSE())*IF(AND(G6="multiple_unit",AB6&lt;110),0.75,1)</f>
        <v>1.725</v>
      </c>
      <c r="BI6" s="18" t="n">
        <f aca="false">INT(POWER((([1]Constants!$G$2+$BB6+$BC6+$BD6+$BF6)*$BE6)*$BH6, 1.05))+$BA6</f>
        <v>28</v>
      </c>
      <c r="BJ6" s="18" t="n">
        <f aca="false">INT(POWER(((([1]Constants!$G$1+$BB6+$BC6+$BD6+$BF6)*($BE6))*$BG6),IF($G6="wagon",1,1.2)))+$AZ6</f>
        <v>77</v>
      </c>
      <c r="BK6" s="19" t="n">
        <f aca="false">BI6*IF($G6="wagon",62.5,781.25)</f>
        <v>21875</v>
      </c>
      <c r="BL6" s="19" t="n">
        <f aca="false">BJ6*IF($G6="wagon",2.73,81.25)</f>
        <v>6256.25</v>
      </c>
      <c r="BM6" s="1"/>
      <c r="BN6" s="1"/>
      <c r="BO6" s="1"/>
      <c r="BP6" s="1"/>
      <c r="BQ6" s="1" t="s">
        <v>123</v>
      </c>
      <c r="BR6" s="1"/>
      <c r="BS6" s="1"/>
      <c r="BT6" s="1" t="n">
        <v>2</v>
      </c>
      <c r="BU6" s="1"/>
      <c r="BV6" s="1"/>
      <c r="BW6" s="1" t="s">
        <v>96</v>
      </c>
      <c r="BX6" s="1" t="str">
        <f aca="false">VLOOKUP(J6,[1]Eras!$A$2:$C$10, 2, TRUE())</f>
        <v>dsl</v>
      </c>
      <c r="BY6" s="18" t="s">
        <v>124</v>
      </c>
      <c r="BZ6" s="1" t="str">
        <f aca="false">CONCATENATE(BX6,"_",BY6)</f>
        <v>dsl_EMU</v>
      </c>
      <c r="CA6" s="1" t="str">
        <f aca="false">_xlfn.CONCAT(H6, "_",I6)</f>
        <v>electric_THIRD_RAIL</v>
      </c>
      <c r="CB6" s="20" t="str">
        <f aca="false" t="array" ref="CB6:CB6">_xlfn.CONCAT("{BLACK}Length: {GOLD}", TEXT(ROUNDUP(IF(AQ6&lt;&gt;"",SUM(VALUE(_xlfn.TEXTSPLIT(AQ6, ","))), SUM(VALUE(_xlfn.TEXTSPLIT(AN6, ",")))*IF(M6, M6, 1))/16, 1), "#,##0.0"), " tiles{}")</f>
        <v>{BLACK}Length: {GOLD}3.0 tiles{}</v>
      </c>
      <c r="CC6" s="1" t="str">
        <f aca="false">VLOOKUP($CA6, Constants!$M:$N, 2, FALSE())</f>
        <v>{BLACK}Powered by: {GOLD}750V DC</v>
      </c>
      <c r="CD6" s="1" t="str">
        <f aca="false">IF(M6&gt;1,_xlfn.CONCAT("{BLACK}Cars: {GOLD}", M6),"")</f>
        <v>{BLACK}Cars: {GOLD}4</v>
      </c>
      <c r="CE6" s="1" t="s">
        <v>125</v>
      </c>
      <c r="CF6" s="1" t="str">
        <f aca="false">IF(BW6="BRAKE","{YELLOW}Speed bonus for slow wagons{}",IF(BU6&gt;190,CONCATENATE("{YELLOW}",INT((BU6-185)/1.85),"% Bonus for long distance travel{}"),IF(AND(BU6&lt;180,BU6&lt;&gt;0),CONCATENATE("{YELLOW}",INT((185-BU6)/1.85),"% Penalty for long distance travel{}"),"")))</f>
        <v/>
      </c>
      <c r="CG6" s="1" t="str">
        <f aca="false">_xlfn.CONCAT(CC6,IF(CC6 &lt;&gt; "", " ", ""),CD6,IF(OR(CD6&lt;&gt;"", CC6&lt;&gt;""), "{}",""), CB6, CF6,"{SILVER}", CE6)</f>
        <v>{BLACK}Powered by: {GOLD}750V DC {BLACK}Cars: {GOLD}4{}{BLACK}Length: {GOLD}3.0 tiles{}{SILVER}The archetypal express Mk1 EMU</v>
      </c>
      <c r="CH6" s="1"/>
      <c r="CI6" s="1"/>
      <c r="CJ6" s="22"/>
    </row>
    <row r="7" s="21" customFormat="true" ht="13.8" hidden="false" customHeight="false" outlineLevel="0" collapsed="false">
      <c r="A7" s="1" t="s">
        <v>126</v>
      </c>
      <c r="B7" s="1" t="s">
        <v>127</v>
      </c>
      <c r="C7" s="1" t="n">
        <v>419</v>
      </c>
      <c r="D7" s="1"/>
      <c r="E7" s="1" t="n">
        <v>421</v>
      </c>
      <c r="F7" s="1" t="s">
        <v>88</v>
      </c>
      <c r="G7" s="1" t="s">
        <v>128</v>
      </c>
      <c r="H7" s="1" t="s">
        <v>129</v>
      </c>
      <c r="I7" s="1" t="s">
        <v>130</v>
      </c>
      <c r="J7" s="1" t="n">
        <v>1959</v>
      </c>
      <c r="K7" s="1" t="n">
        <v>1989</v>
      </c>
      <c r="L7" s="1" t="n">
        <v>2004</v>
      </c>
      <c r="M7" s="1" t="n">
        <v>1</v>
      </c>
      <c r="N7" s="1" t="n">
        <v>500</v>
      </c>
      <c r="O7" s="2"/>
      <c r="P7" s="3"/>
      <c r="Q7" s="3"/>
      <c r="R7" s="3"/>
      <c r="S7" s="3"/>
      <c r="T7" s="3"/>
      <c r="U7" s="3"/>
      <c r="V7" s="3"/>
      <c r="W7" s="1" t="n">
        <v>46.2</v>
      </c>
      <c r="X7" s="2"/>
      <c r="Y7" s="1" t="n">
        <v>5</v>
      </c>
      <c r="Z7" s="1" t="n">
        <v>95</v>
      </c>
      <c r="AA7" s="4" t="n">
        <f aca="false">IF(AND(W7&gt;0,Z7&gt;0),(Z7/((W7+X7)*10)),"")</f>
        <v>0.205627705627706</v>
      </c>
      <c r="AB7" s="1" t="n">
        <v>90</v>
      </c>
      <c r="AC7" s="1" t="n">
        <f aca="false">ROUND(AB7*1.6, 0)</f>
        <v>144</v>
      </c>
      <c r="AD7" s="1"/>
      <c r="AE7" s="1"/>
      <c r="AF7" s="1" t="n">
        <v>19.64</v>
      </c>
      <c r="AG7" s="1" t="n">
        <v>20</v>
      </c>
      <c r="AH7" s="1" t="n">
        <v>2.7</v>
      </c>
      <c r="AI7" s="1" t="n">
        <v>3.77</v>
      </c>
      <c r="AJ7" s="5" t="n">
        <v>38</v>
      </c>
      <c r="AK7" s="1" t="str">
        <f aca="false">CONCATENATE(VLOOKUP(AL7, '[1]Voxel Sizes'!$A$2:$B$18,2,FALSE()),"x",INT(AH7*15), "x", INT(AI7*15))</f>
        <v>198x40x56</v>
      </c>
      <c r="AL7" s="1" t="n">
        <f aca="false">ROUND(15*((AG7*10)/256),0)</f>
        <v>12</v>
      </c>
      <c r="AM7" s="1"/>
      <c r="AN7" s="1" t="str">
        <f aca="false">CONCATENATE(VLOOKUP(AL7,Constants!$A$2:$C$16,IF(AM7&lt;&gt;"", 3, 2), FALSE()),IF(AM7&lt;&gt;"",CONCATENATE(",",VLOOKUP(AM7,$B:$AN,38,FALSE())),""))</f>
        <v>4,4,4</v>
      </c>
      <c r="AO7" s="1"/>
      <c r="AP7" s="7"/>
      <c r="AQ7" s="7"/>
      <c r="AR7" s="1" t="s">
        <v>127</v>
      </c>
      <c r="AS7" s="1"/>
      <c r="AT7" s="1" t="n">
        <v>1</v>
      </c>
      <c r="AU7" s="1"/>
      <c r="AV7" s="1"/>
      <c r="AW7" s="1"/>
      <c r="AX7" s="1" t="n">
        <v>45</v>
      </c>
      <c r="AY7" s="6" t="n">
        <f aca="false">IF(L7&lt;&gt;"",MAX(16,(L7-J7)+8),"")</f>
        <v>53</v>
      </c>
      <c r="AZ7" s="1"/>
      <c r="BA7" s="1" t="n">
        <v>-45</v>
      </c>
      <c r="BB7" s="1" t="n">
        <f aca="false">MIN(AB7/150, 1)*30</f>
        <v>18</v>
      </c>
      <c r="BC7" s="1" t="n">
        <f aca="false">MIN(N7/4000, 1)*20</f>
        <v>2.5</v>
      </c>
      <c r="BD7" s="1" t="n">
        <f aca="false">MIN(Z7/400,1)*20</f>
        <v>4.75</v>
      </c>
      <c r="BE7" s="4" t="n">
        <f aca="false">1-(MAX(J7-1900, 0)/750)</f>
        <v>0.921333333333333</v>
      </c>
      <c r="BF7" s="1" t="n">
        <f aca="false">((MAX($M7,1)*MIN($AJ7/300,1)))*IF(G7="Wagon",50,10)</f>
        <v>1.26666666666667</v>
      </c>
      <c r="BG7" s="1" t="n">
        <f aca="false">VLOOKUP($H7,Constants!$I:$K, 2, FALSE())</f>
        <v>0.9</v>
      </c>
      <c r="BH7" s="1" t="n">
        <f aca="false">VLOOKUP($H7,Constants!$I:$K, 3, FALSE())*IF(AND(G7="multiple_unit",AB7&lt;110),0.75,1)</f>
        <v>2.5</v>
      </c>
      <c r="BI7" s="18" t="n">
        <f aca="false">INT(POWER((([1]Constants!$G$2+$BB7+$BC7+$BD7+$BF7)*$BE7)*$BH7, 1.05))+$BA7</f>
        <v>44</v>
      </c>
      <c r="BJ7" s="18" t="n">
        <f aca="false">INT(POWER(((([1]Constants!$G$1+$BB7+$BC7+$BD7+$BF7)*($BE7))*$BG7),IF($G7="wagon",1,1.2)))+$AZ7</f>
        <v>69</v>
      </c>
      <c r="BK7" s="19" t="n">
        <f aca="false">BI7*IF($G7="wagon",62.5,781.25)</f>
        <v>34375</v>
      </c>
      <c r="BL7" s="19" t="n">
        <f aca="false">BJ7*IF($G7="wagon",2.73,81.25)</f>
        <v>5606.25</v>
      </c>
      <c r="BM7" s="1"/>
      <c r="BN7" s="1"/>
      <c r="BO7" s="1"/>
      <c r="BP7" s="1"/>
      <c r="BQ7" s="1" t="s">
        <v>131</v>
      </c>
      <c r="BR7" s="1"/>
      <c r="BS7" s="1"/>
      <c r="BT7" s="1" t="n">
        <v>2</v>
      </c>
      <c r="BU7" s="1"/>
      <c r="BV7" s="1"/>
      <c r="BW7" s="1" t="s">
        <v>132</v>
      </c>
      <c r="BX7" s="1" t="str">
        <f aca="false">VLOOKUP(J7,[1]Eras!$A$2:$C$10, 2, TRUE())</f>
        <v>dsl</v>
      </c>
      <c r="BY7" s="18" t="s">
        <v>124</v>
      </c>
      <c r="BZ7" s="1" t="str">
        <f aca="false">CONCATENATE(BX7,"_",BY7)</f>
        <v>dsl_EMU</v>
      </c>
      <c r="CA7" s="1" t="str">
        <f aca="false">_xlfn.CONCAT(H7, "_",I7)</f>
        <v>dual_power_BATTERY</v>
      </c>
      <c r="CB7" s="20" t="str">
        <f aca="false" t="array" ref="CB7:CB7">_xlfn.CONCAT("{BLACK}Length: {GOLD}", TEXT(ROUNDUP(IF(AQ7&lt;&gt;"",SUM(VALUE(_xlfn.TEXTSPLIT(AQ7, ","))), SUM(VALUE(_xlfn.TEXTSPLIT(AN7, ",")))*IF(M7, M7, 1))/16, 1), "#,##0.0"), " tiles{}")</f>
        <v>{BLACK}Length: {GOLD}0.8 tiles{}</v>
      </c>
      <c r="CC7" s="1" t="str">
        <f aca="false">VLOOKUP($CA7, Constants!$M:$N, 2, FALSE())</f>
        <v>{BLACK}Powered by: {GOLD}750V DC / Battery</v>
      </c>
      <c r="CD7" s="1" t="str">
        <f aca="false">IF(M7&gt;1,_xlfn.CONCAT("{BLACK}Cars: {GOLD}", M7),"")</f>
        <v/>
      </c>
      <c r="CE7" s="1" t="s">
        <v>133</v>
      </c>
      <c r="CF7" s="1" t="str">
        <f aca="false">IF(BW7="BRAKE","{YELLOW}Speed bonus for slow wagons{}",IF(BU7&gt;190,CONCATENATE("{YELLOW}",INT((BU7-185)/1.85),"% Bonus for long distance travel{}"),IF(AND(BU7&lt;180,BU7&lt;&gt;0),CONCATENATE("{YELLOW}",INT((185-BU7)/1.85),"% Penalty for long distance travel{}"),"")))</f>
        <v/>
      </c>
      <c r="CG7" s="1" t="str">
        <f aca="false">_xlfn.CONCAT(CC7,IF(CC7 &lt;&gt; "", " ", ""),CD7,IF(OR(CD7&lt;&gt;"", CC7&lt;&gt;""), "{}",""), CB7, CF7,"{SILVER}", CE7)</f>
        <v>{BLACK}Powered by: {GOLD}750V DC / Battery {}{BLACK}Length: {GOLD}0.8 tiles{}{SILVER}The Class 419 Motor Luggage Van was used to extend the luggage capacity of express services and was capable of running on it’s own batteries within non-electrified areas.</v>
      </c>
      <c r="CH7" s="1"/>
      <c r="CI7" s="1"/>
      <c r="CJ7" s="22"/>
    </row>
    <row r="8" customFormat="false" ht="13.8" hidden="false" customHeight="false" outlineLevel="0" collapsed="false">
      <c r="A8" s="1" t="s">
        <v>134</v>
      </c>
      <c r="B8" s="1" t="s">
        <v>135</v>
      </c>
      <c r="C8" s="1" t="n">
        <v>489</v>
      </c>
      <c r="E8" s="1" t="n">
        <v>491</v>
      </c>
      <c r="F8" s="1" t="s">
        <v>88</v>
      </c>
      <c r="G8" s="1" t="s">
        <v>128</v>
      </c>
      <c r="H8" s="1" t="s">
        <v>118</v>
      </c>
      <c r="I8" s="1" t="s">
        <v>119</v>
      </c>
      <c r="J8" s="1" t="n">
        <v>1959</v>
      </c>
      <c r="K8" s="1" t="n">
        <v>1989</v>
      </c>
      <c r="L8" s="1" t="n">
        <v>2005</v>
      </c>
      <c r="M8" s="1" t="n">
        <v>1</v>
      </c>
      <c r="N8" s="1" t="n">
        <v>500</v>
      </c>
      <c r="W8" s="1" t="n">
        <v>40.5</v>
      </c>
      <c r="Y8" s="1" t="n">
        <v>5</v>
      </c>
      <c r="Z8" s="1" t="n">
        <v>95</v>
      </c>
      <c r="AA8" s="4" t="n">
        <f aca="false">IF(AND(W8&gt;0,Z8&gt;0),(Z8/((W8+X8)*10)),"")</f>
        <v>0.234567901234568</v>
      </c>
      <c r="AB8" s="1" t="n">
        <v>90</v>
      </c>
      <c r="AC8" s="1" t="n">
        <f aca="false">ROUND(AB8*1.6, 0)</f>
        <v>144</v>
      </c>
      <c r="AF8" s="1" t="n">
        <v>19.64</v>
      </c>
      <c r="AG8" s="1" t="n">
        <v>20</v>
      </c>
      <c r="AH8" s="1" t="n">
        <v>2.7</v>
      </c>
      <c r="AI8" s="1" t="n">
        <v>3.77</v>
      </c>
      <c r="AJ8" s="5" t="n">
        <v>38</v>
      </c>
      <c r="AK8" s="1" t="str">
        <f aca="false">CONCATENATE(VLOOKUP(AL8, '[1]Voxel Sizes'!$A$2:$B$18,2,FALSE()),"x",INT(AH8*15), "x", INT(AI8*15))</f>
        <v>198x40x56</v>
      </c>
      <c r="AL8" s="1" t="n">
        <f aca="false">ROUND(15*((AG8*10)/256),0)</f>
        <v>12</v>
      </c>
      <c r="AN8" s="1" t="str">
        <f aca="false">CONCATENATE(VLOOKUP(AL8,Constants!$A$2:$C$16,IF(AM8&lt;&gt;"", 3, 2), FALSE()),IF(AM8&lt;&gt;"",CONCATENATE(",",VLOOKUP(AM8,$B:$AN,38,FALSE())),""))</f>
        <v>4,4,4</v>
      </c>
      <c r="AR8" s="1" t="s">
        <v>135</v>
      </c>
      <c r="AT8" s="1" t="n">
        <v>1</v>
      </c>
      <c r="AX8" s="1" t="n">
        <v>45</v>
      </c>
      <c r="AY8" s="6" t="n">
        <f aca="false">IF(L8&lt;&gt;"",MAX(16,(L8-J8)+8),"")</f>
        <v>54</v>
      </c>
      <c r="BA8" s="1" t="n">
        <v>-45</v>
      </c>
      <c r="BB8" s="1" t="n">
        <f aca="false">MIN(AB8/150, 1)*30</f>
        <v>18</v>
      </c>
      <c r="BC8" s="1" t="n">
        <f aca="false">MIN(N8/4000, 1)*20</f>
        <v>2.5</v>
      </c>
      <c r="BD8" s="1" t="n">
        <f aca="false">MIN(Z8/400,1)*20</f>
        <v>4.75</v>
      </c>
      <c r="BE8" s="4" t="n">
        <f aca="false">1-(MAX(J8-1900, 0)/750)</f>
        <v>0.921333333333333</v>
      </c>
      <c r="BF8" s="1" t="n">
        <f aca="false">((MAX($M8,1)*MIN($AJ8/300,1)))*IF(G8="Wagon",50,10)</f>
        <v>1.26666666666667</v>
      </c>
      <c r="BG8" s="1" t="n">
        <f aca="false">VLOOKUP($H8,Constants!$I:$K, 2, FALSE())</f>
        <v>0.85</v>
      </c>
      <c r="BH8" s="1" t="n">
        <f aca="false">VLOOKUP($H8,Constants!$I:$K, 3, FALSE())*IF(AND(G8="multiple_unit",AB8&lt;110),0.75,1)</f>
        <v>2.3</v>
      </c>
      <c r="BI8" s="18" t="n">
        <f aca="false">INT(POWER((([1]Constants!$G$2+$BB8+$BC8+$BD8+$BF8)*$BE8)*$BH8, 1.05))+$BA8</f>
        <v>37</v>
      </c>
      <c r="BJ8" s="18" t="n">
        <f aca="false">INT(POWER(((([1]Constants!$G$1+$BB8+$BC8+$BD8+$BF8)*($BE8))*$BG8),IF($G8="wagon",1,1.2)))+$AZ8</f>
        <v>65</v>
      </c>
      <c r="BK8" s="19" t="n">
        <f aca="false">BI8*IF($G8="wagon",62.5,781.25)</f>
        <v>28906.25</v>
      </c>
      <c r="BL8" s="19" t="n">
        <f aca="false">BJ8*IF($G8="wagon",2.73,81.25)</f>
        <v>5281.25</v>
      </c>
      <c r="BM8" s="1" t="n">
        <v>1</v>
      </c>
      <c r="BN8" s="1" t="n">
        <v>1</v>
      </c>
      <c r="BQ8" s="1" t="s">
        <v>136</v>
      </c>
      <c r="BT8" s="1" t="n">
        <v>2</v>
      </c>
      <c r="BW8" s="1" t="s">
        <v>132</v>
      </c>
      <c r="BX8" s="1" t="str">
        <f aca="false">VLOOKUP(J8,[1]Eras!$A$2:$C$10, 2, TRUE())</f>
        <v>dsl</v>
      </c>
      <c r="BY8" s="18" t="s">
        <v>124</v>
      </c>
      <c r="BZ8" s="1" t="str">
        <f aca="false">CONCATENATE(BX8,"_",BY8)</f>
        <v>dsl_EMU</v>
      </c>
      <c r="CA8" s="1" t="str">
        <f aca="false">_xlfn.CONCAT(H8, "_",I8)</f>
        <v>electric_THIRD_RAIL</v>
      </c>
      <c r="CB8" s="20" t="str">
        <f aca="false" t="array" ref="CB8:CB8">_xlfn.CONCAT("{BLACK}Length: {GOLD}", TEXT(ROUNDUP(IF(AQ8&lt;&gt;"",SUM(VALUE(_xlfn.TEXTSPLIT(AQ8, ","))), SUM(VALUE(_xlfn.TEXTSPLIT(AN8, ",")))*IF(M8, M8, 1))/16, 1), "#,##0.0"), " tiles{}")</f>
        <v>{BLACK}Length: {GOLD}0.8 tiles{}</v>
      </c>
      <c r="CC8" s="1" t="str">
        <f aca="false">VLOOKUP($CA8, Constants!$M:$N, 2, FALSE())</f>
        <v>{BLACK}Powered by: {GOLD}750V DC</v>
      </c>
      <c r="CD8" s="1" t="str">
        <f aca="false">IF(M8&gt;1,_xlfn.CONCAT("{BLACK}Cars: {GOLD}", M8),"")</f>
        <v/>
      </c>
      <c r="CE8" s="1" t="s">
        <v>137</v>
      </c>
      <c r="CF8" s="1" t="str">
        <f aca="false">IF(BW8="BRAKE","{YELLOW}Speed bonus for slow wagons{}",IF(BU8&gt;190,CONCATENATE("{YELLOW}",INT((BU8-185)/1.85),"% Bonus for long distance travel{}"),IF(AND(BU8&lt;180,BU8&lt;&gt;0),CONCATENATE("{YELLOW}",INT((185-BU8)/1.85),"% Penalty for long distance travel{}"),"")))</f>
        <v/>
      </c>
      <c r="CG8" s="1" t="str">
        <f aca="false">_xlfn.CONCAT(CC8,IF(CC8 &lt;&gt; "", " ", ""),CD8,IF(OR(CD8&lt;&gt;"", CC8&lt;&gt;""), "{}",""), CB8, CF8,"{SILVER}", CE8)</f>
        <v>{BLACK}Powered by: {GOLD}750V DC {}{BLACK}Length: {GOLD}0.8 tiles{}{SILVER}A late conversion of the 2HAP driving motor to a cab and luggage car for Gatwick Express services</v>
      </c>
      <c r="CH8" s="1"/>
      <c r="CI8" s="1"/>
    </row>
    <row r="9" customFormat="false" ht="13.8" hidden="false" customHeight="false" outlineLevel="0" collapsed="false">
      <c r="A9" s="1" t="s">
        <v>138</v>
      </c>
      <c r="B9" s="1" t="s">
        <v>139</v>
      </c>
      <c r="C9" s="1" t="n">
        <v>153</v>
      </c>
      <c r="E9" s="1" t="n">
        <v>155</v>
      </c>
      <c r="F9" s="1" t="s">
        <v>88</v>
      </c>
      <c r="G9" s="1" t="s">
        <v>89</v>
      </c>
      <c r="H9" s="1" t="s">
        <v>90</v>
      </c>
      <c r="I9" s="1" t="s">
        <v>91</v>
      </c>
      <c r="J9" s="1" t="n">
        <v>1991</v>
      </c>
      <c r="M9" s="1" t="n">
        <v>1</v>
      </c>
      <c r="N9" s="1" t="n">
        <v>213</v>
      </c>
      <c r="W9" s="1" t="n">
        <v>41.2</v>
      </c>
      <c r="Y9" s="1" t="n">
        <v>5</v>
      </c>
      <c r="Z9" s="1" t="n">
        <v>55</v>
      </c>
      <c r="AA9" s="4" t="n">
        <v>0.153631284916201</v>
      </c>
      <c r="AB9" s="1" t="n">
        <v>75</v>
      </c>
      <c r="AC9" s="1" t="n">
        <v>120</v>
      </c>
      <c r="AF9" s="1" t="n">
        <v>23.2</v>
      </c>
      <c r="AG9" s="1" t="n">
        <v>23.2</v>
      </c>
      <c r="AH9" s="1" t="n">
        <v>2.7</v>
      </c>
      <c r="AI9" s="1" t="n">
        <v>3.7</v>
      </c>
      <c r="AJ9" s="5" t="n">
        <v>72</v>
      </c>
      <c r="AK9" s="1" t="s">
        <v>140</v>
      </c>
      <c r="AL9" s="1" t="n">
        <f aca="false">ROUND(15*((AG9*10)/256),0)</f>
        <v>14</v>
      </c>
      <c r="AN9" s="1" t="str">
        <f aca="false">CONCATENATE(VLOOKUP(AL9,Constants!$A$2:$C$16,IF(AM9&lt;&gt;"", 3, 2), FALSE()),IF(AM9&lt;&gt;"",CONCATENATE(",",VLOOKUP(AM9,$B:$AN,38,FALSE())),""))</f>
        <v>4,6,4</v>
      </c>
      <c r="AR9" s="1" t="s">
        <v>139</v>
      </c>
      <c r="AT9" s="1" t="n">
        <v>1</v>
      </c>
      <c r="AX9" s="1" t="n">
        <v>33</v>
      </c>
      <c r="AZ9" s="1" t="n">
        <v>-10</v>
      </c>
      <c r="BA9" s="1" t="n">
        <v>-15</v>
      </c>
      <c r="BB9" s="1" t="n">
        <v>15</v>
      </c>
      <c r="BC9" s="1" t="n">
        <v>2.85</v>
      </c>
      <c r="BD9" s="1" t="n">
        <v>5.5</v>
      </c>
      <c r="BE9" s="4" t="n">
        <v>0.882666666666667</v>
      </c>
      <c r="BF9" s="1" t="n">
        <v>4.6</v>
      </c>
      <c r="BG9" s="1" t="n">
        <f aca="false">VLOOKUP($H9,Constants!$I:$K, 2, FALSE())</f>
        <v>1</v>
      </c>
      <c r="BH9" s="1" t="n">
        <f aca="false">VLOOKUP($H9,Constants!$I:$K, 3, FALSE())*IF(AND(G9="multiple_unit",AB9&lt;110),0.75,1)</f>
        <v>1.5</v>
      </c>
      <c r="BI9" s="18" t="n">
        <f aca="false">INT(POWER((([1]Constants!$G$2+$BB9+$BC9+$BD9+$BF9)*$BE9)*$BH9, 1.05))+$BA9</f>
        <v>37</v>
      </c>
      <c r="BJ9" s="18" t="n">
        <f aca="false">INT(POWER(((([1]Constants!$G$1+$BB9+$BC9+$BD9+$BF9)*($BE9))*$BG9),IF($G9="wagon",1,1.2)))+$AZ9</f>
        <v>68</v>
      </c>
      <c r="BK9" s="19" t="n">
        <f aca="false">BI9*IF($G9="wagon",62.5,781.25)</f>
        <v>28906.25</v>
      </c>
      <c r="BL9" s="19" t="n">
        <f aca="false">BJ9*IF($G9="wagon",2.73,81.25)</f>
        <v>5525</v>
      </c>
      <c r="BT9" s="1" t="n">
        <v>4</v>
      </c>
      <c r="BU9" s="1" t="n">
        <v>185</v>
      </c>
      <c r="BW9" s="1" t="s">
        <v>96</v>
      </c>
      <c r="BX9" s="1" t="s">
        <v>141</v>
      </c>
      <c r="BY9" s="18" t="s">
        <v>97</v>
      </c>
      <c r="BZ9" s="1" t="s">
        <v>142</v>
      </c>
      <c r="CA9" s="1" t="s">
        <v>143</v>
      </c>
      <c r="CB9" s="20" t="str">
        <f aca="false" t="array" ref="CB9:CB11">_xlfn.CONCAT("{BLACK}Length: {GOLD}", TEXT(ROUNDUP(IF(AQ9&lt;&gt;"",SUM(VALUE(_xlfn.TEXTSPLIT(AQ9, ","))), SUM(VALUE(_xlfn.TEXTSPLIT(AN9, ",")))*IF(M9, M9, 1))/16, 1), "#,##0.0"), " tiles{}")</f>
        <v>{BLACK}Length: {GOLD}0.9 tiles{}</v>
      </c>
      <c r="CC9" s="1" t="str">
        <f aca="false">VLOOKUP($CA9, Constants!$M:$N, 2, FALSE())</f>
        <v>{BLACK}Powered by: {GOLD}Diesel</v>
      </c>
      <c r="CD9" s="1" t="s">
        <v>144</v>
      </c>
      <c r="CE9" s="1" t="s">
        <v>145</v>
      </c>
      <c r="CF9" s="1" t="str">
        <f aca="false">IF(BW9="BRAKE","{YELLOW}Speed bonus for slow wagons{}",IF(BU9&gt;190,CONCATENATE("{YELLOW}",INT((BU9-185)/1.85),"% Bonus for long distance travel{}"),IF(AND(BU9&lt;180,BU9&lt;&gt;0),CONCATENATE("{YELLOW}",INT((185-BU9)/1.85),"% Penalty for long distance travel{}"),"")))</f>
        <v/>
      </c>
      <c r="CG9" s="1" t="str">
        <f aca="false">_xlfn.CONCAT(CC9,IF(CC9 &lt;&gt; "", " ", ""),CD9,IF(OR(CD9&lt;&gt;"", CC9&lt;&gt;""), "{}",""), CB9, CF9,"{SILVER}", CE9)</f>
        <v>{BLACK}Powered by: {GOLD}Diesel {BLACK}Cars: {GOLD}2{}{BLACK}Length: {GOLD}0.9 tiles{}{SILVER}The Class 153 was a conversion of earlier Class 155 units, 35 of which were split in two with small cabs added at the inner ends.</v>
      </c>
      <c r="CH9" s="1"/>
      <c r="CI9" s="1"/>
    </row>
    <row r="10" customFormat="false" ht="13.8" hidden="false" customHeight="false" outlineLevel="0" collapsed="false">
      <c r="A10" s="18" t="s">
        <v>146</v>
      </c>
      <c r="B10" s="18" t="s">
        <v>147</v>
      </c>
      <c r="C10" s="18" t="n">
        <v>370</v>
      </c>
      <c r="D10" s="1" t="n">
        <v>372</v>
      </c>
      <c r="E10" s="18" t="n">
        <v>372</v>
      </c>
      <c r="F10" s="18" t="s">
        <v>88</v>
      </c>
      <c r="G10" s="18" t="s">
        <v>89</v>
      </c>
      <c r="H10" s="18" t="s">
        <v>148</v>
      </c>
      <c r="I10" s="18" t="s">
        <v>91</v>
      </c>
      <c r="J10" s="18" t="n">
        <v>1979</v>
      </c>
      <c r="K10" s="18" t="n">
        <v>1986</v>
      </c>
      <c r="L10" s="18" t="n">
        <v>1988</v>
      </c>
      <c r="M10" s="18" t="n">
        <v>6</v>
      </c>
      <c r="N10" s="18" t="n">
        <v>10</v>
      </c>
      <c r="W10" s="18" t="n">
        <v>164.8</v>
      </c>
      <c r="Y10" s="18" t="n">
        <v>4</v>
      </c>
      <c r="Z10" s="18" t="n">
        <v>5</v>
      </c>
      <c r="AA10" s="4" t="n">
        <f aca="false">IF(AND(W10&gt;0,Z10&gt;0),(Z10/((W10+X10)*10)),"")</f>
        <v>0.00303398058252427</v>
      </c>
      <c r="AB10" s="18" t="n">
        <v>155</v>
      </c>
      <c r="AC10" s="18" t="n">
        <f aca="false">ROUND(AB10*1.6, 0)</f>
        <v>248</v>
      </c>
      <c r="AD10" s="18"/>
      <c r="AE10" s="18"/>
      <c r="AF10" s="18" t="n">
        <v>20.9</v>
      </c>
      <c r="AG10" s="18" t="n">
        <v>20.9</v>
      </c>
      <c r="AH10" s="18" t="n">
        <v>2.7</v>
      </c>
      <c r="AI10" s="18" t="n">
        <v>3.5</v>
      </c>
      <c r="AJ10" s="5" t="n">
        <v>44</v>
      </c>
      <c r="AK10" s="18" t="str">
        <f aca="false">CONCATENATE(VLOOKUP(AL10, '[1]Voxel Sizes'!$A$2:$B$18,2,FALSE()),"x",INT(AH10*15), "x", INT(AI10*15))</f>
        <v>198x40x52</v>
      </c>
      <c r="AL10" s="18" t="n">
        <f aca="false">ROUND(15*((AG10*10)/256),0)</f>
        <v>12</v>
      </c>
      <c r="AM10" s="18"/>
      <c r="AN10" s="1" t="str">
        <f aca="false">CONCATENATE(VLOOKUP(AL10,Constants!$A$2:$C$16,IF(AM10&lt;&gt;"", 3, 2), FALSE()),IF(AM10&lt;&gt;"",CONCATENATE(",",VLOOKUP(AM10,$B:$AN,38,FALSE())),""))</f>
        <v>4,4,4</v>
      </c>
      <c r="AO10" s="18"/>
      <c r="AR10" s="18" t="s">
        <v>149</v>
      </c>
      <c r="AS10" s="18"/>
      <c r="AT10" s="18" t="s">
        <v>150</v>
      </c>
      <c r="AU10" s="18" t="s">
        <v>151</v>
      </c>
      <c r="AV10" s="18"/>
      <c r="AW10" s="18"/>
      <c r="AX10" s="18" t="n">
        <v>12</v>
      </c>
      <c r="AY10" s="6" t="n">
        <f aca="false">IF(L10&lt;&gt;"",MAX(16,(L10-J10)+8),"")</f>
        <v>17</v>
      </c>
      <c r="AZ10" s="18"/>
      <c r="BA10" s="18" t="n">
        <v>-20</v>
      </c>
      <c r="BB10" s="18" t="n">
        <f aca="false">MIN(AB10/150, 1)*30</f>
        <v>30</v>
      </c>
      <c r="BC10" s="18" t="n">
        <f aca="false">MIN(N10/4000, 1)*20</f>
        <v>0.05</v>
      </c>
      <c r="BD10" s="18" t="n">
        <f aca="false">MIN(Z10/400,1)*20</f>
        <v>0.25</v>
      </c>
      <c r="BE10" s="4" t="n">
        <f aca="false">1-(MAX(J10-1900, 0)/750)</f>
        <v>0.894666666666667</v>
      </c>
      <c r="BF10" s="18" t="n">
        <f aca="false">((MAX($M10,1)*MIN($AJ10/300,1)))*IF(G10="Wagon",50,10)</f>
        <v>8.8</v>
      </c>
      <c r="BG10" s="18" t="n">
        <f aca="false">VLOOKUP($H10,Constants!$I:$K, 2, FALSE())</f>
        <v>0.85</v>
      </c>
      <c r="BH10" s="18" t="n">
        <f aca="false">VLOOKUP($H10,Constants!$I:$K, 3, FALSE())*IF(AND(G10="multiple_unit",AB10&lt;110),0.75,1)</f>
        <v>2.3</v>
      </c>
      <c r="BI10" s="18" t="n">
        <f aca="false">INT(POWER((([1]Constants!$G$2+$BB10+$BC10+$BD10+$BF10)*$BE10)*$BH10, 1.05))+$BA10</f>
        <v>93</v>
      </c>
      <c r="BJ10" s="18" t="n">
        <f aca="false">INT(POWER(((([1]Constants!$G$1+$BB10+$BC10+$BD10+$BF10)*($BE10))*$BG10),IF($G10="wagon",1,1.2)))+$AZ10</f>
        <v>86</v>
      </c>
      <c r="BK10" s="19" t="n">
        <f aca="false">BI10*IF($G10="wagon",62.5,781.25)</f>
        <v>72656.25</v>
      </c>
      <c r="BL10" s="19" t="n">
        <f aca="false">BJ10*IF($G10="wagon",2.73,81.25)</f>
        <v>6987.5</v>
      </c>
      <c r="BP10" s="18" t="n">
        <v>1</v>
      </c>
      <c r="BQ10" s="18" t="str">
        <f aca="false">_xlfn.ORG.LIBREOFFICE.REGEX(_xlfn.ORG.LIBREOFFICE.REGEX(APTMUVehicles, _xlfn.CONCAT(B10, ",?"), ""), ",$", "")</f>
        <v>apt_half_6_rev,apt_powercar,apt_powercar2,apt_half_2,apt_half_2_rev,apt_q_dvt,apt_s_dm</v>
      </c>
      <c r="BR10" s="18"/>
      <c r="BS10" s="18" t="s">
        <v>152</v>
      </c>
      <c r="BT10" s="18" t="n">
        <v>8</v>
      </c>
      <c r="BU10" s="18" t="n">
        <v>222</v>
      </c>
      <c r="BW10" s="18" t="s">
        <v>96</v>
      </c>
      <c r="BX10" s="18" t="str">
        <f aca="false">VLOOKUP(J10,[1]Eras!$A$2:$C$10, 2, TRUE())</f>
        <v>lbr</v>
      </c>
      <c r="BY10" s="18" t="s">
        <v>153</v>
      </c>
      <c r="BZ10" s="18" t="str">
        <f aca="false">CONCATENATE(BX10,"_",BY10)</f>
        <v>lbr_EMU (Express)</v>
      </c>
      <c r="CA10" s="18" t="str">
        <f aca="false">_xlfn.CONCAT(H10, "_",I10)</f>
        <v>none_RAIL</v>
      </c>
      <c r="CB10" s="20" t="str">
        <v>{BLACK}Length: {GOLD}0.9 tiles{}</v>
      </c>
      <c r="CC10" s="18" t="str">
        <f aca="false">VLOOKUP($CA10, Constants!$M:$N, 2, FALSE())</f>
        <v/>
      </c>
      <c r="CD10" s="18" t="str">
        <f aca="false">IF(M10&gt;1,_xlfn.CONCAT("{BLACK}Cars: {GOLD}", M10),"")</f>
        <v>{BLACK}Cars: {GOLD}6</v>
      </c>
      <c r="CE10" s="18" t="s">
        <v>154</v>
      </c>
      <c r="CF10" s="18" t="str">
        <f aca="false">IF(BW10="BRAKE","{YELLOW}Speed bonus for slow wagons{}",IF(BU10&gt;190,CONCATENATE("{YELLOW}",INT((BU10-185)/1.85),"% Bonus for long distance travel{}"),IF(AND(BU10&lt;180,BU10&lt;&gt;0),CONCATENATE("{YELLOW}",INT((185-BU10)/1.85),"% Penalty for long distance travel{}"),"")))</f>
        <v>{YELLOW}20% Bonus for long distance travel{}</v>
      </c>
      <c r="CG10" s="18" t="str">
        <f aca="false">_xlfn.CONCAT(CC10,IF(CC10 &lt;&gt; "", " ", ""),CD10,IF(OR(CD10&lt;&gt;"", CC10&lt;&gt;""), "{}",""), CB10, CF10,"{SILVER}", CE10)</f>
        <v>{BLACK}Cars: {GOLD}6{}{BLACK}Length: {GOLD}0.9 tiles{}{YELLOW}20% Bonus for long distance travel{}{SILVER}A 6-car half-rake of APT-P vehicles</v>
      </c>
      <c r="CH10" s="18"/>
      <c r="CI10" s="18"/>
    </row>
    <row r="11" customFormat="false" ht="13.8" hidden="false" customHeight="false" outlineLevel="0" collapsed="false">
      <c r="A11" s="1" t="s">
        <v>155</v>
      </c>
      <c r="B11" s="1" t="s">
        <v>156</v>
      </c>
      <c r="C11" s="1" t="n">
        <v>371</v>
      </c>
      <c r="D11" s="1" t="n">
        <v>372</v>
      </c>
      <c r="E11" s="1" t="n">
        <v>373</v>
      </c>
      <c r="F11" s="1" t="s">
        <v>88</v>
      </c>
      <c r="G11" s="1" t="s">
        <v>89</v>
      </c>
      <c r="H11" s="1" t="s">
        <v>148</v>
      </c>
      <c r="I11" s="1" t="s">
        <v>91</v>
      </c>
      <c r="J11" s="1" t="n">
        <v>1979</v>
      </c>
      <c r="K11" s="1" t="n">
        <v>1986</v>
      </c>
      <c r="L11" s="1" t="n">
        <v>1988</v>
      </c>
      <c r="M11" s="1" t="n">
        <v>6</v>
      </c>
      <c r="N11" s="1" t="n">
        <v>10</v>
      </c>
      <c r="W11" s="1" t="n">
        <v>164.8</v>
      </c>
      <c r="Y11" s="1" t="n">
        <v>4</v>
      </c>
      <c r="Z11" s="1" t="n">
        <v>5</v>
      </c>
      <c r="AA11" s="4" t="n">
        <f aca="false">IF(AND(W11&gt;0,Z11&gt;0),(Z11/((W11+X11)*10)),"")</f>
        <v>0.00303398058252427</v>
      </c>
      <c r="AB11" s="1" t="n">
        <v>155</v>
      </c>
      <c r="AC11" s="1" t="n">
        <f aca="false">ROUND(AB11*1.6, 0)</f>
        <v>248</v>
      </c>
      <c r="AF11" s="1" t="n">
        <v>20.9</v>
      </c>
      <c r="AG11" s="1" t="n">
        <v>20.9</v>
      </c>
      <c r="AH11" s="1" t="n">
        <v>2.7</v>
      </c>
      <c r="AI11" s="1" t="n">
        <v>3.5</v>
      </c>
      <c r="AJ11" s="5" t="n">
        <v>44</v>
      </c>
      <c r="AK11" s="1" t="str">
        <f aca="false">CONCATENATE(VLOOKUP(AL11, '[1]Voxel Sizes'!$A$2:$B$18,2,FALSE()),"x",INT(AH11*15), "x", INT(AI11*15))</f>
        <v>198x40x52</v>
      </c>
      <c r="AL11" s="1" t="n">
        <f aca="false">ROUND(15*((AG11*10)/256),0)</f>
        <v>12</v>
      </c>
      <c r="AN11" s="1" t="str">
        <f aca="false">CONCATENATE(VLOOKUP(AL11,Constants!$A$2:$C$16,IF(AM11&lt;&gt;"", 3, 2), FALSE()),IF(AM11&lt;&gt;"",CONCATENATE(",",VLOOKUP(AM11,$B:$AN,38,FALSE())),""))</f>
        <v>4,4,4</v>
      </c>
      <c r="AR11" s="1" t="s">
        <v>157</v>
      </c>
      <c r="AT11" s="1" t="s">
        <v>158</v>
      </c>
      <c r="AU11" s="1" t="s">
        <v>159</v>
      </c>
      <c r="AX11" s="1" t="n">
        <v>12</v>
      </c>
      <c r="AY11" s="6" t="n">
        <f aca="false">IF(L11&lt;&gt;"",MAX(16,(L11-J11)+8),"")</f>
        <v>17</v>
      </c>
      <c r="AZ11" s="1" t="n">
        <v>-20</v>
      </c>
      <c r="BA11" s="1" t="n">
        <v>-20</v>
      </c>
      <c r="BB11" s="1" t="n">
        <f aca="false">MIN(AB11/150, 1)*30</f>
        <v>30</v>
      </c>
      <c r="BC11" s="1" t="n">
        <f aca="false">MIN(N11/4000, 1)*20</f>
        <v>0.05</v>
      </c>
      <c r="BD11" s="1" t="n">
        <f aca="false">MIN(Z11/400,1)*20</f>
        <v>0.25</v>
      </c>
      <c r="BE11" s="4" t="n">
        <f aca="false">1-(MAX(J11-1900, 0)/750)</f>
        <v>0.894666666666667</v>
      </c>
      <c r="BF11" s="1" t="n">
        <f aca="false">((MAX($M11,1)*MIN($AJ11/300,1)))*IF(G11="Wagon",50,10)</f>
        <v>8.8</v>
      </c>
      <c r="BG11" s="1" t="n">
        <f aca="false">VLOOKUP($H11,Constants!$I:$K, 2, FALSE())</f>
        <v>0.85</v>
      </c>
      <c r="BH11" s="1" t="n">
        <f aca="false">VLOOKUP($H11,Constants!$I:$K, 3, FALSE())*IF(AND(G11="multiple_unit",AB11&lt;110),0.75,1)</f>
        <v>2.3</v>
      </c>
      <c r="BI11" s="1" t="n">
        <f aca="false">INT(POWER((([1]Constants!$G$2+$BB11+$BC11+$BD11+$BF11)*$BE11)*$BH11, 1.05))+$BA11</f>
        <v>93</v>
      </c>
      <c r="BJ11" s="1" t="n">
        <f aca="false">INT(POWER(((([1]Constants!$G$1+$BB11+$BC11+$BD11+$BF11)*($BE11))*$BG11),IF($G11="wagon",1,1.2)))+$AZ11</f>
        <v>66</v>
      </c>
      <c r="BK11" s="19" t="n">
        <f aca="false">BI11*IF($G11="wagon",62.5,781.25)</f>
        <v>72656.25</v>
      </c>
      <c r="BL11" s="19" t="n">
        <f aca="false">BJ11*IF($G11="wagon",2.73,81.25)</f>
        <v>5362.5</v>
      </c>
      <c r="BO11" s="1" t="n">
        <v>1</v>
      </c>
      <c r="BP11" s="1" t="n">
        <v>1</v>
      </c>
      <c r="BQ11" s="1" t="str">
        <f aca="false">_xlfn.ORG.LIBREOFFICE.REGEX(_xlfn.ORG.LIBREOFFICE.REGEX(APTMUVehicles, _xlfn.CONCAT(B11, ",?"), ""), ",$", "")</f>
        <v>apt_half_6,apt_powercar,apt_powercar2,apt_half_2,apt_half_2_rev,apt_q_dvt,apt_s_dm</v>
      </c>
      <c r="BS11" s="1" t="s">
        <v>152</v>
      </c>
      <c r="BT11" s="1" t="n">
        <v>8</v>
      </c>
      <c r="BU11" s="1" t="n">
        <v>222</v>
      </c>
      <c r="BW11" s="1" t="s">
        <v>96</v>
      </c>
      <c r="BX11" s="1" t="str">
        <f aca="false">VLOOKUP(J11,[1]Eras!$A$2:$C$10, 2, TRUE())</f>
        <v>lbr</v>
      </c>
      <c r="BY11" s="18" t="s">
        <v>153</v>
      </c>
      <c r="BZ11" s="1" t="str">
        <f aca="false">CONCATENATE(BX11,"_",BY11)</f>
        <v>lbr_EMU (Express)</v>
      </c>
      <c r="CA11" s="1" t="str">
        <f aca="false">_xlfn.CONCAT(H11, "_",I11)</f>
        <v>none_RAIL</v>
      </c>
      <c r="CB11" s="20" t="str">
        <v>{BLACK}Length: {GOLD}0.9 tiles{}</v>
      </c>
      <c r="CC11" s="1" t="str">
        <f aca="false">VLOOKUP($CA11, Constants!$M:$N, 2, FALSE())</f>
        <v/>
      </c>
      <c r="CD11" s="1" t="str">
        <f aca="false">IF(M11&gt;1,_xlfn.CONCAT("{BLACK}Cars: {GOLD}", M11),"")</f>
        <v>{BLACK}Cars: {GOLD}6</v>
      </c>
      <c r="CE11" s="1" t="s">
        <v>154</v>
      </c>
      <c r="CF11" s="1" t="str">
        <f aca="false">IF(BW11="BRAKE","{YELLOW}Speed bonus for slow wagons{}",IF(BU11&gt;190,CONCATENATE("{YELLOW}",INT((BU11-185)/1.85),"% Bonus for long distance travel{}"),IF(AND(BU11&lt;180,BU11&lt;&gt;0),CONCATENATE("{YELLOW}",INT((185-BU11)/1.85),"% Penalty for long distance travel{}"),"")))</f>
        <v>{YELLOW}20% Bonus for long distance travel{}</v>
      </c>
      <c r="CG11" s="1" t="str">
        <f aca="false">_xlfn.CONCAT(CC11,IF(CC11 &lt;&gt; "", " ", ""),CD11,IF(OR(CD11&lt;&gt;"", CC11&lt;&gt;""), "{}",""), CB11, CF11,"{SILVER}", CE11)</f>
        <v>{BLACK}Cars: {GOLD}6{}{BLACK}Length: {GOLD}0.9 tiles{}{YELLOW}20% Bonus for long distance travel{}{SILVER}A 6-car half-rake of APT-P vehicles</v>
      </c>
      <c r="CH11" s="1"/>
      <c r="CI11" s="1"/>
    </row>
    <row r="12" customFormat="false" ht="13.8" hidden="false" customHeight="false" outlineLevel="0" collapsed="false">
      <c r="A12" s="1" t="s">
        <v>160</v>
      </c>
      <c r="B12" s="1" t="s">
        <v>161</v>
      </c>
      <c r="C12" s="1" t="n">
        <v>372</v>
      </c>
      <c r="E12" s="1" t="n">
        <v>374</v>
      </c>
      <c r="F12" s="1" t="s">
        <v>88</v>
      </c>
      <c r="G12" s="1" t="s">
        <v>89</v>
      </c>
      <c r="H12" s="1" t="s">
        <v>148</v>
      </c>
      <c r="I12" s="1" t="s">
        <v>91</v>
      </c>
      <c r="J12" s="1" t="n">
        <v>1979</v>
      </c>
      <c r="K12" s="1" t="n">
        <v>1986</v>
      </c>
      <c r="L12" s="1" t="n">
        <v>1988</v>
      </c>
      <c r="M12" s="1" t="n">
        <v>2</v>
      </c>
      <c r="N12" s="1" t="n">
        <v>10</v>
      </c>
      <c r="W12" s="1" t="n">
        <v>65.6</v>
      </c>
      <c r="Y12" s="1" t="n">
        <v>4</v>
      </c>
      <c r="Z12" s="1" t="n">
        <v>5</v>
      </c>
      <c r="AA12" s="4" t="n">
        <f aca="false">IF(AND(W12&gt;0,Z12&gt;0),(Z12/((W12+X12)*10)),"")</f>
        <v>0.0076219512195122</v>
      </c>
      <c r="AB12" s="1" t="n">
        <v>155</v>
      </c>
      <c r="AC12" s="1" t="n">
        <f aca="false">ROUND(AB12*1.6, 0)</f>
        <v>248</v>
      </c>
      <c r="AF12" s="1" t="n">
        <v>20.9</v>
      </c>
      <c r="AG12" s="1" t="n">
        <v>20.9</v>
      </c>
      <c r="AH12" s="1" t="n">
        <v>2.7</v>
      </c>
      <c r="AI12" s="1" t="n">
        <v>3.5</v>
      </c>
      <c r="AJ12" s="5" t="n">
        <v>39</v>
      </c>
      <c r="AK12" s="1" t="str">
        <f aca="false">CONCATENATE(VLOOKUP(AL12, '[1]Voxel Sizes'!$A$2:$B$18,2,FALSE()),"x",INT(AH12*15), "x", INT(AI12*15))</f>
        <v>198x40x52</v>
      </c>
      <c r="AL12" s="1" t="n">
        <f aca="false">ROUND(15*((AG12*10)/256),0)</f>
        <v>12</v>
      </c>
      <c r="AN12" s="1" t="str">
        <f aca="false">CONCATENATE(VLOOKUP(AL12,Constants!$A$2:$C$16,IF(AM12&lt;&gt;"", 3, 2), FALSE()),IF(AM12&lt;&gt;"",CONCATENATE(",",VLOOKUP(AM12,$B:$AN,38,FALSE())),""))</f>
        <v>4,4,4</v>
      </c>
      <c r="AR12" s="1" t="s">
        <v>162</v>
      </c>
      <c r="AT12" s="1" t="s">
        <v>114</v>
      </c>
      <c r="AU12" s="1" t="s">
        <v>151</v>
      </c>
      <c r="AX12" s="1" t="n">
        <v>12</v>
      </c>
      <c r="AY12" s="6" t="n">
        <f aca="false">IF(L12&lt;&gt;"",MAX(16,(L12-J12)+8),"")</f>
        <v>17</v>
      </c>
      <c r="AZ12" s="1" t="n">
        <v>-45</v>
      </c>
      <c r="BA12" s="1" t="n">
        <v>-65</v>
      </c>
      <c r="BB12" s="1" t="n">
        <f aca="false">MIN(AB12/150, 1)*30</f>
        <v>30</v>
      </c>
      <c r="BC12" s="1" t="n">
        <f aca="false">MIN(N12/4000, 1)*20</f>
        <v>0.05</v>
      </c>
      <c r="BD12" s="1" t="n">
        <f aca="false">MIN(Z12/400,1)*20</f>
        <v>0.25</v>
      </c>
      <c r="BE12" s="4" t="n">
        <f aca="false">1-(MAX(J12-1900, 0)/750)</f>
        <v>0.894666666666667</v>
      </c>
      <c r="BF12" s="1" t="n">
        <f aca="false">((MAX($M12,1)*MIN($AJ12/300,1)))*IF(G12="Wagon",50,10)</f>
        <v>2.6</v>
      </c>
      <c r="BG12" s="1" t="n">
        <f aca="false">VLOOKUP($H12,Constants!$I:$K, 2, FALSE())</f>
        <v>0.85</v>
      </c>
      <c r="BH12" s="1" t="n">
        <f aca="false">VLOOKUP($H12,Constants!$I:$K, 3, FALSE())*IF(AND(G12="multiple_unit",AB12&lt;110),0.75,1)</f>
        <v>2.3</v>
      </c>
      <c r="BI12" s="1" t="n">
        <f aca="false">INT(POWER((([1]Constants!$G$2+$BB12+$BC12+$BD12+$BF12)*$BE12)*$BH12, 1.05))+$BA12</f>
        <v>31</v>
      </c>
      <c r="BJ12" s="1" t="n">
        <f aca="false">INT(POWER(((([1]Constants!$G$1+$BB12+$BC12+$BD12+$BF12)*($BE12))*$BG12),IF($G12="wagon",1,1.2)))+$AZ12</f>
        <v>29</v>
      </c>
      <c r="BK12" s="19" t="n">
        <f aca="false">BI12*IF($G12="wagon",62.5,781.25)</f>
        <v>24218.75</v>
      </c>
      <c r="BL12" s="19" t="n">
        <f aca="false">BJ12*IF($G12="wagon",2.73,81.25)</f>
        <v>2356.25</v>
      </c>
      <c r="BP12" s="1" t="n">
        <v>1</v>
      </c>
      <c r="BQ12" s="1" t="str">
        <f aca="false">_xlfn.ORG.LIBREOFFICE.REGEX(_xlfn.ORG.LIBREOFFICE.REGEX(APTMUVehicles, _xlfn.CONCAT(B12, ",?"), ""), ",$", "")</f>
        <v>apt_half_6,apt_half_6_rev,apt_powercar,apt_powercar2,apt_half_2_rev,apt_q_dvt,apt_s_dm</v>
      </c>
      <c r="BT12" s="1" t="n">
        <v>8</v>
      </c>
      <c r="BU12" s="1" t="n">
        <v>185</v>
      </c>
      <c r="BW12" s="1" t="s">
        <v>96</v>
      </c>
      <c r="BX12" s="1" t="str">
        <f aca="false">VLOOKUP(J12,[1]Eras!$A$2:$C$10, 2, TRUE())</f>
        <v>lbr</v>
      </c>
      <c r="BY12" s="18" t="s">
        <v>153</v>
      </c>
      <c r="BZ12" s="1" t="str">
        <f aca="false">CONCATENATE(BX12,"_",BY12)</f>
        <v>lbr_EMU (Express)</v>
      </c>
      <c r="CA12" s="1" t="str">
        <f aca="false">_xlfn.CONCAT(H12, "_",I12)</f>
        <v>none_RAIL</v>
      </c>
      <c r="CB12" s="20" t="str">
        <f aca="false" t="array" ref="CB12:CB12">_xlfn.CONCAT("{BLACK}Length: {GOLD}", TEXT(ROUNDUP(IF(AQ12&lt;&gt;"",SUM(VALUE(_xlfn.TEXTSPLIT(AQ12, ","))), SUM(VALUE(_xlfn.TEXTSPLIT(AN12, ",")))*IF(M12, M12, 1))/16, 1), "#,##0.0"), " tiles{}")</f>
        <v>{BLACK}Length: {GOLD}1.5 tiles{}</v>
      </c>
      <c r="CC12" s="1" t="str">
        <f aca="false">VLOOKUP($CA12, Constants!$M:$N, 2, FALSE())</f>
        <v/>
      </c>
      <c r="CD12" s="1" t="str">
        <f aca="false">IF(M12&gt;1,_xlfn.CONCAT("{BLACK}Cars: {GOLD}", M12),"")</f>
        <v>{BLACK}Cars: {GOLD}2</v>
      </c>
      <c r="CE12" s="1" t="s">
        <v>163</v>
      </c>
      <c r="CF12" s="1" t="str">
        <f aca="false">IF(BW12="BRAKE","{YELLOW}Speed bonus for slow wagons{}",IF(BU12&gt;190,CONCATENATE("{YELLOW}",INT((BU12-185)/1.85),"% Bonus for long distance travel{}"),IF(AND(BU12&lt;180,BU12&lt;&gt;0),CONCATENATE("{YELLOW}",INT((185-BU12)/1.85),"% Penalty for long distance travel{}"),"")))</f>
        <v/>
      </c>
      <c r="CG12" s="1" t="str">
        <f aca="false">_xlfn.CONCAT(CC12,IF(CC12 &lt;&gt; "", " ", ""),CD12,IF(OR(CD12&lt;&gt;"", CC12&lt;&gt;""), "{}",""), CB12, CF12,"{SILVER}", CE12)</f>
        <v>{BLACK}Cars: {GOLD}2{}{BLACK}Length: {GOLD}1.5 tiles{}{SILVER}A minimal 2-car half-rake of APT-P Vehicles. Lack of dining facilities makes this much less attractive for passengers.</v>
      </c>
      <c r="CH12" s="1"/>
      <c r="CI12" s="1"/>
    </row>
    <row r="13" customFormat="false" ht="13.8" hidden="false" customHeight="false" outlineLevel="0" collapsed="false">
      <c r="A13" s="1" t="s">
        <v>164</v>
      </c>
      <c r="B13" s="1" t="s">
        <v>165</v>
      </c>
      <c r="C13" s="1" t="n">
        <v>373</v>
      </c>
      <c r="D13" s="1" t="n">
        <v>372</v>
      </c>
      <c r="E13" s="1" t="n">
        <v>375</v>
      </c>
      <c r="F13" s="1" t="s">
        <v>88</v>
      </c>
      <c r="G13" s="1" t="s">
        <v>89</v>
      </c>
      <c r="H13" s="1" t="s">
        <v>148</v>
      </c>
      <c r="I13" s="1" t="s">
        <v>91</v>
      </c>
      <c r="J13" s="1" t="n">
        <v>1979</v>
      </c>
      <c r="K13" s="1" t="n">
        <v>1986</v>
      </c>
      <c r="L13" s="1" t="n">
        <v>1988</v>
      </c>
      <c r="M13" s="1" t="n">
        <v>2</v>
      </c>
      <c r="N13" s="1" t="n">
        <v>10</v>
      </c>
      <c r="W13" s="1" t="n">
        <v>65.6</v>
      </c>
      <c r="Y13" s="1" t="n">
        <v>4</v>
      </c>
      <c r="Z13" s="1" t="n">
        <v>5</v>
      </c>
      <c r="AA13" s="4" t="n">
        <f aca="false">IF(AND(W13&gt;0,Z13&gt;0),(Z13/((W13+X13)*10)),"")</f>
        <v>0.0076219512195122</v>
      </c>
      <c r="AB13" s="1" t="n">
        <v>155</v>
      </c>
      <c r="AC13" s="1" t="n">
        <f aca="false">ROUND(AB13*1.6, 0)</f>
        <v>248</v>
      </c>
      <c r="AF13" s="1" t="n">
        <v>20.9</v>
      </c>
      <c r="AG13" s="1" t="n">
        <v>20.9</v>
      </c>
      <c r="AH13" s="1" t="n">
        <v>2.7</v>
      </c>
      <c r="AI13" s="1" t="n">
        <v>3.5</v>
      </c>
      <c r="AJ13" s="5" t="n">
        <v>39</v>
      </c>
      <c r="AK13" s="1" t="str">
        <f aca="false">CONCATENATE(VLOOKUP(AL13, '[1]Voxel Sizes'!$A$2:$B$18,2,FALSE()),"x",INT(AH13*15), "x", INT(AI13*15))</f>
        <v>198x40x52</v>
      </c>
      <c r="AL13" s="1" t="n">
        <f aca="false">ROUND(15*((AG13*10)/256),0)</f>
        <v>12</v>
      </c>
      <c r="AN13" s="1" t="str">
        <f aca="false">CONCATENATE(VLOOKUP(AL13,Constants!$A$2:$C$16,IF(AM13&lt;&gt;"", 3, 2), FALSE()),IF(AM13&lt;&gt;"",CONCATENATE(",",VLOOKUP(AM13,$B:$AN,38,FALSE())),""))</f>
        <v>4,4,4</v>
      </c>
      <c r="AR13" s="1" t="s">
        <v>166</v>
      </c>
      <c r="AT13" s="1" t="s">
        <v>114</v>
      </c>
      <c r="AU13" s="1" t="s">
        <v>159</v>
      </c>
      <c r="AX13" s="1" t="n">
        <v>12</v>
      </c>
      <c r="AY13" s="6" t="n">
        <f aca="false">IF(L13&lt;&gt;"",MAX(16,(L13-J13)+8),"")</f>
        <v>17</v>
      </c>
      <c r="AZ13" s="1" t="n">
        <v>-60</v>
      </c>
      <c r="BA13" s="1" t="n">
        <v>-65</v>
      </c>
      <c r="BB13" s="1" t="n">
        <f aca="false">MIN(AB13/150, 1)*30</f>
        <v>30</v>
      </c>
      <c r="BC13" s="1" t="n">
        <f aca="false">MIN(N13/4000, 1)*20</f>
        <v>0.05</v>
      </c>
      <c r="BD13" s="1" t="n">
        <f aca="false">MIN(Z13/400,1)*20</f>
        <v>0.25</v>
      </c>
      <c r="BE13" s="4" t="n">
        <f aca="false">1-(MAX(J13-1900, 0)/750)</f>
        <v>0.894666666666667</v>
      </c>
      <c r="BF13" s="1" t="n">
        <f aca="false">((MAX($M13,1)*MIN($AJ13/300,1)))*IF(G13="Wagon",50,10)</f>
        <v>2.6</v>
      </c>
      <c r="BG13" s="1" t="n">
        <f aca="false">VLOOKUP($H13,Constants!$I:$K, 2, FALSE())</f>
        <v>0.85</v>
      </c>
      <c r="BH13" s="1" t="n">
        <f aca="false">VLOOKUP($H13,Constants!$I:$K, 3, FALSE())*IF(AND(G13="multiple_unit",AB13&lt;110),0.75,1)</f>
        <v>2.3</v>
      </c>
      <c r="BI13" s="1" t="n">
        <f aca="false">INT(POWER((([1]Constants!$G$2+$BB13+$BC13+$BD13+$BF13)*$BE13)*$BH13, 1.05))+$BA13</f>
        <v>31</v>
      </c>
      <c r="BJ13" s="1" t="n">
        <f aca="false">INT(POWER(((([1]Constants!$G$1+$BB13+$BC13+$BD13+$BF13)*($BE13))*$BG13),IF($G13="wagon",1,1.2)))+$AZ13</f>
        <v>14</v>
      </c>
      <c r="BK13" s="19" t="n">
        <f aca="false">BI13*IF($G13="wagon",62.5,781.25)</f>
        <v>24218.75</v>
      </c>
      <c r="BL13" s="19" t="n">
        <f aca="false">BJ13*IF($G13="wagon",2.73,81.25)</f>
        <v>1137.5</v>
      </c>
      <c r="BO13" s="1" t="n">
        <v>1</v>
      </c>
      <c r="BP13" s="1" t="n">
        <v>1</v>
      </c>
      <c r="BQ13" s="1" t="str">
        <f aca="false">_xlfn.ORG.LIBREOFFICE.REGEX(_xlfn.ORG.LIBREOFFICE.REGEX(APTMUVehicles, _xlfn.CONCAT(B13, ",?"), ""), ",$", "")</f>
        <v>apt_half_6,apt_half_6_rev,apt_powercar,apt_powercar2,apt_half_2,apt_q_dvt,apt_s_dm</v>
      </c>
      <c r="BT13" s="1" t="n">
        <v>8</v>
      </c>
      <c r="BU13" s="1" t="n">
        <v>185</v>
      </c>
      <c r="BW13" s="1" t="s">
        <v>96</v>
      </c>
      <c r="BX13" s="1" t="str">
        <f aca="false">VLOOKUP(J13,[1]Eras!$A$2:$C$10, 2, TRUE())</f>
        <v>lbr</v>
      </c>
      <c r="BY13" s="18" t="s">
        <v>153</v>
      </c>
      <c r="BZ13" s="1" t="str">
        <f aca="false">CONCATENATE(BX13,"_",BY13)</f>
        <v>lbr_EMU (Express)</v>
      </c>
      <c r="CA13" s="1" t="str">
        <f aca="false">_xlfn.CONCAT(H13, "_",I13)</f>
        <v>none_RAIL</v>
      </c>
      <c r="CB13" s="20" t="str">
        <f aca="false" t="array" ref="CB13:CB13">_xlfn.CONCAT("{BLACK}Length: {GOLD}", TEXT(ROUNDUP(IF(AQ13&lt;&gt;"",SUM(VALUE(_xlfn.TEXTSPLIT(AQ13, ","))), SUM(VALUE(_xlfn.TEXTSPLIT(AN13, ",")))*IF(M13, M13, 1))/16, 1), "#,##0.0"), " tiles{}")</f>
        <v>{BLACK}Length: {GOLD}1.5 tiles{}</v>
      </c>
      <c r="CC13" s="1" t="str">
        <f aca="false">VLOOKUP($CA13, Constants!$M:$N, 2, FALSE())</f>
        <v/>
      </c>
      <c r="CD13" s="1" t="str">
        <f aca="false">IF(M13&gt;1,_xlfn.CONCAT("{BLACK}Cars: {GOLD}", M13),"")</f>
        <v>{BLACK}Cars: {GOLD}2</v>
      </c>
      <c r="CE13" s="1" t="s">
        <v>163</v>
      </c>
      <c r="CF13" s="1" t="str">
        <f aca="false">IF(BW13="BRAKE","{YELLOW}Speed bonus for slow wagons{}",IF(BU13&gt;190,CONCATENATE("{YELLOW}",INT((BU13-185)/1.85),"% Bonus for long distance travel{}"),IF(AND(BU13&lt;180,BU13&lt;&gt;0),CONCATENATE("{YELLOW}",INT((185-BU13)/1.85),"% Penalty for long distance travel{}"),"")))</f>
        <v/>
      </c>
      <c r="CG13" s="1" t="str">
        <f aca="false">_xlfn.CONCAT(CC13,IF(CC13 &lt;&gt; "", " ", ""),CD13,IF(OR(CD13&lt;&gt;"", CC13&lt;&gt;""), "{}",""), CB13, CF13,"{SILVER}", CE13)</f>
        <v>{BLACK}Cars: {GOLD}2{}{BLACK}Length: {GOLD}1.5 tiles{}{SILVER}A minimal 2-car half-rake of APT-P Vehicles. Lack of dining facilities makes this much less attractive for passengers.</v>
      </c>
      <c r="CH13" s="1"/>
      <c r="CI13" s="1"/>
    </row>
    <row r="14" customFormat="false" ht="13.8" hidden="false" customHeight="false" outlineLevel="0" collapsed="false">
      <c r="A14" s="1" t="s">
        <v>167</v>
      </c>
      <c r="B14" s="1" t="s">
        <v>168</v>
      </c>
      <c r="C14" s="1" t="n">
        <v>374</v>
      </c>
      <c r="D14" s="1" t="n">
        <v>372</v>
      </c>
      <c r="E14" s="1" t="n">
        <v>376</v>
      </c>
      <c r="F14" s="1" t="s">
        <v>88</v>
      </c>
      <c r="G14" s="1" t="s">
        <v>89</v>
      </c>
      <c r="H14" s="1" t="s">
        <v>118</v>
      </c>
      <c r="I14" s="1" t="s">
        <v>169</v>
      </c>
      <c r="J14" s="1" t="n">
        <v>1979</v>
      </c>
      <c r="K14" s="1" t="n">
        <v>1986</v>
      </c>
      <c r="L14" s="1" t="n">
        <v>1988</v>
      </c>
      <c r="M14" s="1" t="n">
        <v>1</v>
      </c>
      <c r="N14" s="1" t="n">
        <v>4000</v>
      </c>
      <c r="W14" s="1" t="n">
        <v>67.5</v>
      </c>
      <c r="Y14" s="1" t="n">
        <v>4</v>
      </c>
      <c r="Z14" s="1" t="n">
        <v>210</v>
      </c>
      <c r="AA14" s="4" t="n">
        <f aca="false">IF(AND(W14&gt;0,Z14&gt;0),(Z14/((W14+X14)*10)),"")</f>
        <v>0.311111111111111</v>
      </c>
      <c r="AB14" s="1" t="n">
        <v>155</v>
      </c>
      <c r="AC14" s="1" t="n">
        <f aca="false">ROUND(AB14*1.6, 0)</f>
        <v>248</v>
      </c>
      <c r="AF14" s="1" t="n">
        <v>20.9</v>
      </c>
      <c r="AG14" s="1" t="n">
        <v>20.9</v>
      </c>
      <c r="AH14" s="1" t="n">
        <v>2.7</v>
      </c>
      <c r="AI14" s="1" t="n">
        <v>3.5</v>
      </c>
      <c r="AJ14" s="5" t="n">
        <v>0</v>
      </c>
      <c r="AK14" s="1" t="str">
        <f aca="false">CONCATENATE(VLOOKUP(AL14, '[1]Voxel Sizes'!$A$2:$B$18,2,FALSE()),"x",INT(AH14*15), "x", INT(AI14*15))</f>
        <v>198x40x52</v>
      </c>
      <c r="AL14" s="1" t="n">
        <f aca="false">ROUND(15*((AG14*10)/256),0)</f>
        <v>12</v>
      </c>
      <c r="AN14" s="1" t="str">
        <f aca="false">CONCATENATE(VLOOKUP(AL14,Constants!$A$2:$C$16,IF(AM14&lt;&gt;"", 3, 2), FALSE()),IF(AM14&lt;&gt;"",CONCATENATE(",",VLOOKUP(AM14,$B:$AN,38,FALSE())),""))</f>
        <v>4,4,4</v>
      </c>
      <c r="AR14" s="1" t="s">
        <v>170</v>
      </c>
      <c r="AT14" s="1" t="n">
        <v>1</v>
      </c>
      <c r="AU14" s="1" t="s">
        <v>170</v>
      </c>
      <c r="AX14" s="1" t="n">
        <v>12</v>
      </c>
      <c r="AY14" s="6" t="n">
        <f aca="false">IF(L14&lt;&gt;"",MAX(16,(L14-J14)+8),"")</f>
        <v>17</v>
      </c>
      <c r="AZ14" s="1" t="n">
        <v>25</v>
      </c>
      <c r="BA14" s="1" t="n">
        <v>-90</v>
      </c>
      <c r="BB14" s="1" t="n">
        <f aca="false">MIN(AB14/150, 1)*30</f>
        <v>30</v>
      </c>
      <c r="BC14" s="1" t="n">
        <f aca="false">MIN(N14/4000, 1)*20</f>
        <v>20</v>
      </c>
      <c r="BD14" s="1" t="n">
        <f aca="false">MIN(Z14/400,1)*20</f>
        <v>10.5</v>
      </c>
      <c r="BE14" s="4" t="n">
        <f aca="false">1-(MAX(J14-1900, 0)/750)</f>
        <v>0.894666666666667</v>
      </c>
      <c r="BF14" s="1" t="n">
        <f aca="false">((MAX($M14,1)*MIN($AJ14/300,1)))*IF(G14="Wagon",50,10)</f>
        <v>0</v>
      </c>
      <c r="BG14" s="1" t="n">
        <f aca="false">VLOOKUP($H14,Constants!$I:$K, 2, FALSE())</f>
        <v>0.85</v>
      </c>
      <c r="BH14" s="1" t="n">
        <f aca="false">VLOOKUP($H14,Constants!$I:$K, 3, FALSE())*IF(AND(G14="multiple_unit",AB14&lt;110),0.75,1)</f>
        <v>2.3</v>
      </c>
      <c r="BI14" s="1" t="n">
        <f aca="false">INT(POWER((([1]Constants!$G$2+$BB14+$BC14+$BD14+$BF14)*$BE14)*$BH14, 1.05))+$BA14</f>
        <v>82</v>
      </c>
      <c r="BJ14" s="1" t="n">
        <f aca="false">INT(POWER(((([1]Constants!$G$1+$BB14+$BC14+$BD14+$BF14)*($BE14))*$BG14),IF($G14="wagon",1,1.2)))+$AZ14</f>
        <v>154</v>
      </c>
      <c r="BK14" s="19" t="n">
        <f aca="false">BI14*IF($G14="wagon",62.5,781.25)</f>
        <v>64062.5</v>
      </c>
      <c r="BL14" s="19" t="n">
        <f aca="false">BJ14*IF($G14="wagon",2.73,81.25)</f>
        <v>12512.5</v>
      </c>
      <c r="BO14" s="1" t="n">
        <v>1</v>
      </c>
      <c r="BP14" s="1" t="n">
        <v>1</v>
      </c>
      <c r="BQ14" s="1" t="str">
        <f aca="false">_xlfn.ORG.LIBREOFFICE.REGEX(_xlfn.ORG.LIBREOFFICE.REGEX(APTMUVehicles, _xlfn.CONCAT(B14, ",?"), ""), ",$", "")</f>
        <v>apt_half_6,apt_half_6_rev,apt_powercar2,apt_half_2,apt_half_2_rev,apt_q_dvt,apt_s_dm</v>
      </c>
      <c r="BT14" s="1" t="n">
        <v>8</v>
      </c>
      <c r="BX14" s="1" t="str">
        <f aca="false">VLOOKUP(J14,[1]Eras!$A$2:$C$10, 2, TRUE())</f>
        <v>lbr</v>
      </c>
      <c r="BY14" s="18" t="s">
        <v>153</v>
      </c>
      <c r="BZ14" s="1" t="str">
        <f aca="false">CONCATENATE(BX14,"_",BY14)</f>
        <v>lbr_EMU (Express)</v>
      </c>
      <c r="CA14" s="1" t="str">
        <f aca="false">_xlfn.CONCAT(H14, "_",I14)</f>
        <v>electric_ELRL</v>
      </c>
      <c r="CB14" s="20" t="str">
        <f aca="false" t="array" ref="CB14:CB14">_xlfn.CONCAT("{BLACK}Length: {GOLD}", TEXT(ROUNDUP(IF(AQ14&lt;&gt;"",SUM(VALUE(_xlfn.TEXTSPLIT(AQ14, ","))), SUM(VALUE(_xlfn.TEXTSPLIT(AN14, ",")))*IF(M14, M14, 1))/16, 1), "#,##0.0"), " tiles{}")</f>
        <v>{BLACK}Length: {GOLD}0.8 tiles{}</v>
      </c>
      <c r="CC14" s="1" t="str">
        <f aca="false">VLOOKUP($CA14, Constants!$M:$N, 2, FALSE())</f>
        <v>{BLACK}Powered by: {GOLD}25kV AC</v>
      </c>
      <c r="CD14" s="1" t="str">
        <f aca="false">IF(M14&gt;1,_xlfn.CONCAT("{BLACK}Cars: {GOLD}", M14),"")</f>
        <v/>
      </c>
      <c r="CE14" s="1" t="s">
        <v>171</v>
      </c>
      <c r="CF14" s="1" t="str">
        <f aca="false">IF(BW14="BRAKE","{YELLOW}Speed bonus for slow wagons{}",IF(BU14&gt;190,CONCATENATE("{YELLOW}",INT((BU14-185)/1.85),"% Bonus for long distance travel{}"),IF(AND(BU14&lt;180,BU14&lt;&gt;0),CONCATENATE("{YELLOW}",INT((185-BU14)/1.85),"% Penalty for long distance travel{}"),"")))</f>
        <v/>
      </c>
      <c r="CG14" s="1" t="str">
        <f aca="false">_xlfn.CONCAT(CC14,IF(CC14 &lt;&gt; "", " ", ""),CD14,IF(OR(CD14&lt;&gt;"", CC14&lt;&gt;""), "{}",""), CB14, CF14,"{SILVER}", CE14)</f>
        <v>{BLACK}Powered by: {GOLD}25kV AC {}{BLACK}Length: {GOLD}0.8 tiles{}{SILVER}An APT-P centre power car</v>
      </c>
      <c r="CH14" s="1"/>
      <c r="CI14" s="1"/>
    </row>
    <row r="15" customFormat="false" ht="13.8" hidden="false" customHeight="false" outlineLevel="0" collapsed="false">
      <c r="A15" s="1" t="s">
        <v>172</v>
      </c>
      <c r="B15" s="1" t="s">
        <v>173</v>
      </c>
      <c r="C15" s="1" t="n">
        <v>375</v>
      </c>
      <c r="D15" s="1" t="n">
        <v>372</v>
      </c>
      <c r="E15" s="1" t="n">
        <v>377</v>
      </c>
      <c r="F15" s="1" t="s">
        <v>88</v>
      </c>
      <c r="G15" s="1" t="s">
        <v>89</v>
      </c>
      <c r="H15" s="1" t="s">
        <v>118</v>
      </c>
      <c r="I15" s="1" t="s">
        <v>169</v>
      </c>
      <c r="J15" s="1" t="n">
        <v>1979</v>
      </c>
      <c r="K15" s="1" t="n">
        <v>1986</v>
      </c>
      <c r="L15" s="1" t="n">
        <v>1988</v>
      </c>
      <c r="M15" s="1" t="n">
        <v>1</v>
      </c>
      <c r="N15" s="1" t="n">
        <v>4000</v>
      </c>
      <c r="W15" s="1" t="n">
        <v>67.5</v>
      </c>
      <c r="Y15" s="1" t="n">
        <v>4</v>
      </c>
      <c r="Z15" s="1" t="n">
        <v>210</v>
      </c>
      <c r="AA15" s="4" t="n">
        <f aca="false">IF(AND(W15&gt;0,Z15&gt;0),(Z15/((W15+X15)*10)),"")</f>
        <v>0.311111111111111</v>
      </c>
      <c r="AB15" s="1" t="n">
        <v>155</v>
      </c>
      <c r="AC15" s="1" t="n">
        <f aca="false">ROUND(AB15*1.6, 0)</f>
        <v>248</v>
      </c>
      <c r="AF15" s="1" t="n">
        <v>20.9</v>
      </c>
      <c r="AG15" s="1" t="n">
        <v>20.9</v>
      </c>
      <c r="AH15" s="1" t="n">
        <v>2.7</v>
      </c>
      <c r="AI15" s="1" t="n">
        <v>3.5</v>
      </c>
      <c r="AJ15" s="5" t="n">
        <v>0</v>
      </c>
      <c r="AK15" s="1" t="str">
        <f aca="false">CONCATENATE(VLOOKUP(AL15, '[1]Voxel Sizes'!$A$2:$B$18,2,FALSE()),"x",INT(AH15*15), "x", INT(AI15*15))</f>
        <v>198x40x52</v>
      </c>
      <c r="AL15" s="1" t="n">
        <f aca="false">ROUND(15*((AG15*10)/256),0)</f>
        <v>12</v>
      </c>
      <c r="AN15" s="1" t="str">
        <f aca="false">CONCATENATE(VLOOKUP(AL15,Constants!$A$2:$C$16,IF(AM15&lt;&gt;"", 3, 2), FALSE()),IF(AM15&lt;&gt;"",CONCATENATE(",",VLOOKUP(AM15,$B:$AN,38,FALSE())),""))</f>
        <v>4,4,4</v>
      </c>
      <c r="AR15" s="1" t="s">
        <v>174</v>
      </c>
      <c r="AT15" s="1" t="n">
        <v>1</v>
      </c>
      <c r="AU15" s="1" t="s">
        <v>174</v>
      </c>
      <c r="AX15" s="1" t="n">
        <v>12</v>
      </c>
      <c r="AY15" s="6" t="n">
        <f aca="false">IF(L15&lt;&gt;"",MAX(16,(L15-J15)+8),"")</f>
        <v>17</v>
      </c>
      <c r="AZ15" s="1" t="n">
        <v>25</v>
      </c>
      <c r="BA15" s="1" t="n">
        <v>-90</v>
      </c>
      <c r="BB15" s="1" t="n">
        <f aca="false">MIN(AB15/150, 1)*30</f>
        <v>30</v>
      </c>
      <c r="BC15" s="1" t="n">
        <f aca="false">MIN(N15/4000, 1)*20</f>
        <v>20</v>
      </c>
      <c r="BD15" s="1" t="n">
        <f aca="false">MIN(Z15/400,1)*20</f>
        <v>10.5</v>
      </c>
      <c r="BE15" s="4" t="n">
        <f aca="false">1-(MAX(J15-1900, 0)/750)</f>
        <v>0.894666666666667</v>
      </c>
      <c r="BF15" s="1" t="n">
        <f aca="false">((MAX($M15,1)*MIN($AJ15/300,1)))*IF(G15="Wagon",50,10)</f>
        <v>0</v>
      </c>
      <c r="BG15" s="1" t="n">
        <f aca="false">VLOOKUP($H15,Constants!$I:$K, 2, FALSE())</f>
        <v>0.85</v>
      </c>
      <c r="BH15" s="1" t="n">
        <f aca="false">VLOOKUP($H15,Constants!$I:$K, 3, FALSE())*IF(AND(G15="multiple_unit",AB15&lt;110),0.75,1)</f>
        <v>2.3</v>
      </c>
      <c r="BI15" s="1" t="n">
        <f aca="false">INT(POWER((([1]Constants!$G$2+$BB15+$BC15+$BD15+$BF15)*$BE15)*$BH15, 1.05))+$BA15</f>
        <v>82</v>
      </c>
      <c r="BJ15" s="1" t="n">
        <f aca="false">INT(POWER(((([1]Constants!$G$1+$BB15+$BC15+$BD15+$BF15)*($BE15))*$BG15),IF($G15="wagon",1,1.2)))+$AZ15</f>
        <v>154</v>
      </c>
      <c r="BK15" s="19" t="n">
        <f aca="false">BI15*IF($G15="wagon",62.5,781.25)</f>
        <v>64062.5</v>
      </c>
      <c r="BL15" s="19" t="n">
        <f aca="false">BJ15*IF($G15="wagon",2.73,81.25)</f>
        <v>12512.5</v>
      </c>
      <c r="BO15" s="1" t="n">
        <v>1</v>
      </c>
      <c r="BP15" s="1" t="n">
        <v>1</v>
      </c>
      <c r="BQ15" s="1" t="str">
        <f aca="false">_xlfn.ORG.LIBREOFFICE.REGEX(_xlfn.ORG.LIBREOFFICE.REGEX(APTMUVehicles, _xlfn.CONCAT(B15, ",?"), ""), ",$", "")</f>
        <v>apt_half_6,apt_half_6_rev,apt_powercar,apt_half_2,apt_half_2_rev,apt_q_dvt,apt_s_dm</v>
      </c>
      <c r="BT15" s="1" t="n">
        <v>8</v>
      </c>
      <c r="BX15" s="1" t="str">
        <f aca="false">VLOOKUP(J15,[1]Eras!$A$2:$C$10, 2, TRUE())</f>
        <v>lbr</v>
      </c>
      <c r="BY15" s="18" t="s">
        <v>153</v>
      </c>
      <c r="BZ15" s="1" t="str">
        <f aca="false">CONCATENATE(BX15,"_",BY15)</f>
        <v>lbr_EMU (Express)</v>
      </c>
      <c r="CA15" s="1" t="str">
        <f aca="false">_xlfn.CONCAT(H15, "_",I15)</f>
        <v>electric_ELRL</v>
      </c>
      <c r="CB15" s="20" t="str">
        <f aca="false" t="array" ref="CB15:CB15">_xlfn.CONCAT("{BLACK}Length: {GOLD}", TEXT(ROUNDUP(IF(AQ15&lt;&gt;"",SUM(VALUE(_xlfn.TEXTSPLIT(AQ15, ","))), SUM(VALUE(_xlfn.TEXTSPLIT(AN15, ",")))*IF(M15, M15, 1))/16, 1), "#,##0.0"), " tiles{}")</f>
        <v>{BLACK}Length: {GOLD}0.8 tiles{}</v>
      </c>
      <c r="CC15" s="1" t="str">
        <f aca="false">VLOOKUP($CA15, Constants!$M:$N, 2, FALSE())</f>
        <v>{BLACK}Powered by: {GOLD}25kV AC</v>
      </c>
      <c r="CD15" s="1" t="str">
        <f aca="false">IF(M15&gt;1,_xlfn.CONCAT("{BLACK}Cars: {GOLD}", M15),"")</f>
        <v/>
      </c>
      <c r="CE15" s="1" t="s">
        <v>171</v>
      </c>
      <c r="CF15" s="1" t="str">
        <f aca="false">IF(BW15="BRAKE","{YELLOW}Speed bonus for slow wagons{}",IF(BU15&gt;190,CONCATENATE("{YELLOW}",INT((BU15-185)/1.85),"% Bonus for long distance travel{}"),IF(AND(BU15&lt;180,BU15&lt;&gt;0),CONCATENATE("{YELLOW}",INT((185-BU15)/1.85),"% Penalty for long distance travel{}"),"")))</f>
        <v/>
      </c>
      <c r="CG15" s="1" t="str">
        <f aca="false">_xlfn.CONCAT(CC15,IF(CC15 &lt;&gt; "", " ", ""),CD15,IF(OR(CD15&lt;&gt;"", CC15&lt;&gt;""), "{}",""), CB15, CF15,"{SILVER}", CE15)</f>
        <v>{BLACK}Powered by: {GOLD}25kV AC {}{BLACK}Length: {GOLD}0.8 tiles{}{SILVER}An APT-P centre power car</v>
      </c>
      <c r="CH15" s="1"/>
      <c r="CI15" s="1"/>
    </row>
    <row r="16" customFormat="false" ht="13.8" hidden="false" customHeight="false" outlineLevel="0" collapsed="false">
      <c r="A16" s="18" t="s">
        <v>175</v>
      </c>
      <c r="B16" s="18" t="s">
        <v>176</v>
      </c>
      <c r="C16" s="18" t="n">
        <v>380</v>
      </c>
      <c r="D16" s="18" t="n">
        <v>386</v>
      </c>
      <c r="E16" s="18" t="n">
        <v>382</v>
      </c>
      <c r="F16" s="18" t="s">
        <v>88</v>
      </c>
      <c r="G16" s="18" t="s">
        <v>128</v>
      </c>
      <c r="H16" s="18" t="s">
        <v>118</v>
      </c>
      <c r="I16" s="18" t="s">
        <v>169</v>
      </c>
      <c r="J16" s="18" t="n">
        <v>1986</v>
      </c>
      <c r="K16" s="18" t="n">
        <v>1991</v>
      </c>
      <c r="L16" s="18" t="n">
        <v>1994</v>
      </c>
      <c r="M16" s="18" t="n">
        <v>1</v>
      </c>
      <c r="N16" s="18" t="n">
        <v>4000</v>
      </c>
      <c r="W16" s="1" t="n">
        <v>76.8</v>
      </c>
      <c r="Y16" s="1" t="n">
        <v>4</v>
      </c>
      <c r="Z16" s="1" t="n">
        <v>210</v>
      </c>
      <c r="AA16" s="4" t="n">
        <f aca="false">IF(AND(W16&gt;0,Z16&gt;0),(Z16/((W16+X16)*10)),"")</f>
        <v>0.2734375</v>
      </c>
      <c r="AB16" s="1" t="n">
        <v>140</v>
      </c>
      <c r="AC16" s="1" t="n">
        <f aca="false">ROUND(AB16*1.6, 0)</f>
        <v>224</v>
      </c>
      <c r="AF16" s="1" t="n">
        <v>22</v>
      </c>
      <c r="AG16" s="1" t="n">
        <v>22</v>
      </c>
      <c r="AH16" s="1" t="n">
        <v>2.7</v>
      </c>
      <c r="AI16" s="1" t="n">
        <v>3.5</v>
      </c>
      <c r="AJ16" s="5" t="n">
        <v>0</v>
      </c>
      <c r="AK16" s="1" t="str">
        <f aca="false">CONCATENATE(VLOOKUP(AL16, '[1]Voxel Sizes'!$A$2:$B$18,2,FALSE()),"x",INT(AH16*15), "x", INT(AI16*15))</f>
        <v>214x40x52</v>
      </c>
      <c r="AL16" s="1" t="n">
        <f aca="false">ROUND(15*((AG16*10)/256),0)</f>
        <v>13</v>
      </c>
      <c r="AN16" s="1" t="str">
        <f aca="false">CONCATENATE(VLOOKUP(AL16,Constants!$A$2:$C$16,IF(AM16&lt;&gt;"", 3, 2), FALSE()),IF(AM16&lt;&gt;"",CONCATENATE(",",VLOOKUP(AM16,$B:$AN,38,FALSE())),""))</f>
        <v>4,5,4</v>
      </c>
      <c r="AX16" s="1" t="n">
        <v>20</v>
      </c>
      <c r="AY16" s="6" t="n">
        <f aca="false">IF(L16&lt;&gt;"",MAX(16,(L16-J16)+8),"")</f>
        <v>16</v>
      </c>
      <c r="AZ16" s="1" t="n">
        <v>-35</v>
      </c>
      <c r="BA16" s="1" t="n">
        <v>-60</v>
      </c>
      <c r="BB16" s="1" t="n">
        <f aca="false">MIN(AB16/150, 1)*30</f>
        <v>28</v>
      </c>
      <c r="BC16" s="1" t="n">
        <f aca="false">MIN(N16/4000, 1)*20</f>
        <v>20</v>
      </c>
      <c r="BD16" s="1" t="n">
        <f aca="false">MIN(Z16/400,1)*20</f>
        <v>10.5</v>
      </c>
      <c r="BE16" s="4" t="n">
        <f aca="false">1-(MAX(J16-1900, 0)/750)</f>
        <v>0.885333333333333</v>
      </c>
      <c r="BF16" s="1" t="n">
        <f aca="false">((MAX($M16,1)*MIN($AJ16/300,1)))*IF(G16="Wagon",50,10)</f>
        <v>0</v>
      </c>
      <c r="BG16" s="1" t="n">
        <f aca="false">VLOOKUP($H16,Constants!$I:$K, 2, FALSE())</f>
        <v>0.85</v>
      </c>
      <c r="BH16" s="1" t="n">
        <f aca="false">VLOOKUP($H16,Constants!$I:$K, 3, FALSE())*IF(AND(G16="multiple_unit",AB16&lt;110),0.75,1)</f>
        <v>2.3</v>
      </c>
      <c r="BI16" s="1" t="n">
        <f aca="false">INT(POWER((([1]Constants!$G$2+$BB16+$BC16+$BD16+$BF16)*$BE16)*$BH16, 1.05))+$BA16</f>
        <v>104</v>
      </c>
      <c r="BJ16" s="1" t="n">
        <f aca="false">INT(POWER(((([1]Constants!$G$1+$BB16+$BC16+$BD16+$BF16)*($BE16))*$BG16),IF($G16="wagon",1,1.2)))+$AZ16</f>
        <v>88</v>
      </c>
      <c r="BK16" s="19" t="n">
        <f aca="false">BI16*IF($G16="wagon",62.5,781.25)</f>
        <v>81250</v>
      </c>
      <c r="BL16" s="19" t="n">
        <f aca="false">BJ16*IF($G16="wagon",2.73,81.25)</f>
        <v>7150</v>
      </c>
      <c r="BM16" s="1" t="n">
        <v>1</v>
      </c>
      <c r="BN16" s="1" t="n">
        <v>1</v>
      </c>
      <c r="BP16" s="1" t="n">
        <v>1</v>
      </c>
      <c r="BQ16" s="1" t="str">
        <f aca="false">_xlfn.ORG.LIBREOFFICE.REGEX(_xlfn.ORG.LIBREOFFICE.REGEX(APTMUVehicles, _xlfn.CONCAT(B16, ",?"), ""), ",$", "")</f>
        <v>apt_half_6,apt_half_6_rev,apt_powercar,apt_powercar2,apt_half_2,apt_half_2_rev,apt_q_dvt</v>
      </c>
      <c r="BS16" s="1" t="s">
        <v>177</v>
      </c>
      <c r="BT16" s="1" t="n">
        <v>7</v>
      </c>
      <c r="BX16" s="1" t="str">
        <f aca="false">VLOOKUP(J16,[1]Eras!$A$2:$C$10, 2, TRUE())</f>
        <v>lbr</v>
      </c>
      <c r="BY16" s="18" t="s">
        <v>178</v>
      </c>
      <c r="BZ16" s="1" t="str">
        <f aca="false">CONCATENATE(BX16,"_",BY16)</f>
        <v>lbr_Express (Electric)</v>
      </c>
      <c r="CA16" s="1" t="str">
        <f aca="false">_xlfn.CONCAT(H16, "_",I16)</f>
        <v>electric_ELRL</v>
      </c>
      <c r="CB16" s="20" t="str">
        <f aca="false" t="array" ref="CB16:CB16">_xlfn.CONCAT("{BLACK}Length: {GOLD}", TEXT(ROUNDUP(IF(AQ16&lt;&gt;"",SUM(VALUE(_xlfn.TEXTSPLIT(AQ16, ","))), SUM(VALUE(_xlfn.TEXTSPLIT(AN16, ",")))*IF(M16, M16, 1))/16, 1), "#,##0.0"), " tiles{}")</f>
        <v>{BLACK}Length: {GOLD}0.9 tiles{}</v>
      </c>
      <c r="CC16" s="1" t="str">
        <f aca="false">VLOOKUP($CA16, Constants!$M:$N, 2, FALSE())</f>
        <v>{BLACK}Powered by: {GOLD}25kV AC</v>
      </c>
      <c r="CD16" s="1" t="str">
        <f aca="false">IF(M16&gt;1,_xlfn.CONCAT("{BLACK}Cars: {GOLD}", M16),"")</f>
        <v/>
      </c>
      <c r="CE16" s="1" t="s">
        <v>179</v>
      </c>
      <c r="CF16" s="1" t="str">
        <f aca="false">IF(BW17="BRAKE","{YELLOW}Speed bonus for slow wagons{}",IF(BU17&gt;190,CONCATENATE("{YELLOW}",INT((BU17-185)/1.85),"% Bonus for long distance travel{}"),IF(AND(BU17&lt;180,BU17&lt;&gt;0),CONCATENATE("{YELLOW}",INT((185-BU17)/1.85),"% Penalty for long distance travel{}"),"")))</f>
        <v/>
      </c>
      <c r="CG16" s="1" t="str">
        <f aca="false">_xlfn.CONCAT(CC16,IF(CC16 &lt;&gt; "", " ", ""),CD16,IF(OR(CD16&lt;&gt;"", CC16&lt;&gt;""), "{}",""), CB16, CF16,"{SILVER}", CE16)</f>
        <v>{BLACK}Powered by: {GOLD}25kV AC {}{BLACK}Length: {GOLD}0.9 tiles{}{SILVER}The APT-S was a rework of the APT concept towards more conventional rolling stock, with a driving motor car, articulated trailers and a DVT.</v>
      </c>
      <c r="CH16" s="1"/>
      <c r="CI16" s="1"/>
    </row>
    <row r="17" customFormat="false" ht="13.8" hidden="false" customHeight="false" outlineLevel="0" collapsed="false">
      <c r="A17" s="18" t="s">
        <v>180</v>
      </c>
      <c r="B17" s="18" t="s">
        <v>181</v>
      </c>
      <c r="C17" s="18" t="n">
        <v>382</v>
      </c>
      <c r="D17" s="1" t="n">
        <v>386</v>
      </c>
      <c r="E17" s="18" t="n">
        <v>384</v>
      </c>
      <c r="F17" s="18" t="s">
        <v>88</v>
      </c>
      <c r="G17" s="18" t="s">
        <v>128</v>
      </c>
      <c r="H17" s="18" t="s">
        <v>148</v>
      </c>
      <c r="I17" s="18" t="s">
        <v>91</v>
      </c>
      <c r="J17" s="18" t="n">
        <v>1986</v>
      </c>
      <c r="K17" s="18" t="n">
        <v>1991</v>
      </c>
      <c r="L17" s="18" t="n">
        <v>1994</v>
      </c>
      <c r="M17" s="18" t="n">
        <v>1</v>
      </c>
      <c r="N17" s="18" t="n">
        <v>100</v>
      </c>
      <c r="W17" s="1" t="n">
        <v>38.4</v>
      </c>
      <c r="Y17" s="1" t="n">
        <v>4</v>
      </c>
      <c r="Z17" s="1" t="n">
        <v>5</v>
      </c>
      <c r="AA17" s="4" t="n">
        <f aca="false">IF(AND(W17&gt;0,Z17&gt;0),(Z17/((W17+X17)*10)),"")</f>
        <v>0.0130208333333333</v>
      </c>
      <c r="AB17" s="1" t="n">
        <v>140</v>
      </c>
      <c r="AC17" s="1" t="n">
        <f aca="false">ROUND(AB17*1.6, 0)</f>
        <v>224</v>
      </c>
      <c r="AF17" s="1" t="n">
        <v>22</v>
      </c>
      <c r="AG17" s="1" t="n">
        <v>22</v>
      </c>
      <c r="AH17" s="1" t="n">
        <v>2.7</v>
      </c>
      <c r="AI17" s="1" t="n">
        <v>3.5</v>
      </c>
      <c r="AJ17" s="5" t="n">
        <v>36</v>
      </c>
      <c r="AK17" s="1" t="str">
        <f aca="false">CONCATENATE(VLOOKUP(AL17, '[1]Voxel Sizes'!$A$2:$B$18,2,FALSE()),"x",INT(AH17*15), "x", INT(AI17*15))</f>
        <v>214x40x52</v>
      </c>
      <c r="AL17" s="1" t="n">
        <f aca="false">ROUND(15*((AG17*10)/256),0)</f>
        <v>13</v>
      </c>
      <c r="AN17" s="1" t="str">
        <f aca="false">CONCATENATE(VLOOKUP(AL17,Constants!$A$2:$C$16,IF(AM17&lt;&gt;"", 3, 2), FALSE()),IF(AM17&lt;&gt;"",CONCATENATE(",",VLOOKUP(AM17,$B:$AN,38,FALSE())),""))</f>
        <v>4,5,4</v>
      </c>
      <c r="AX17" s="1" t="n">
        <v>20</v>
      </c>
      <c r="AY17" s="6" t="n">
        <f aca="false">IF(L17&lt;&gt;"",MAX(16,(L17-J17)+8),"")</f>
        <v>16</v>
      </c>
      <c r="AZ17" s="1" t="n">
        <v>-35</v>
      </c>
      <c r="BA17" s="1" t="n">
        <v>-60</v>
      </c>
      <c r="BB17" s="1" t="n">
        <f aca="false">MIN(AB17/150, 1)*30</f>
        <v>28</v>
      </c>
      <c r="BC17" s="1" t="n">
        <f aca="false">MIN(N17/4000, 1)*20</f>
        <v>0.5</v>
      </c>
      <c r="BD17" s="1" t="n">
        <f aca="false">MIN(Z17/400,1)*20</f>
        <v>0.25</v>
      </c>
      <c r="BE17" s="4" t="n">
        <f aca="false">1-(MAX(J17-1900, 0)/750)</f>
        <v>0.885333333333333</v>
      </c>
      <c r="BF17" s="1" t="n">
        <f aca="false">((MAX($M17,1)*MIN($AJ17/300,1)))*IF(G17="Wagon",50,10)</f>
        <v>1.2</v>
      </c>
      <c r="BG17" s="1" t="n">
        <f aca="false">VLOOKUP($H17,Constants!$I:$K, 2, FALSE())</f>
        <v>0.85</v>
      </c>
      <c r="BH17" s="1" t="n">
        <f aca="false">VLOOKUP($H17,Constants!$I:$K, 3, FALSE())*IF(AND(G17="multiple_unit",AB17&lt;110),0.75,1)</f>
        <v>2.3</v>
      </c>
      <c r="BI17" s="1" t="n">
        <f aca="false">INT(POWER((([1]Constants!$G$2+$BB17+$BC17+$BD17+$BF17)*$BE17)*$BH17, 1.05))+$BA17</f>
        <v>28</v>
      </c>
      <c r="BJ17" s="1" t="n">
        <f aca="false">INT(POWER(((([1]Constants!$G$1+$BB17+$BC17+$BD17+$BF17)*($BE17))*$BG17),IF($G17="wagon",1,1.2)))+$AZ17</f>
        <v>33</v>
      </c>
      <c r="BK17" s="19" t="n">
        <f aca="false">BI17*IF($G17="wagon",62.5,781.25)</f>
        <v>21875</v>
      </c>
      <c r="BL17" s="19" t="n">
        <f aca="false">BJ17*IF($G17="wagon",2.73,81.25)</f>
        <v>2681.25</v>
      </c>
      <c r="BM17" s="1" t="n">
        <v>1</v>
      </c>
      <c r="BN17" s="1" t="n">
        <v>1</v>
      </c>
      <c r="BP17" s="1" t="n">
        <v>1</v>
      </c>
      <c r="BQ17" s="1" t="str">
        <f aca="false">_xlfn.ORG.LIBREOFFICE.REGEX(_xlfn.ORG.LIBREOFFICE.REGEX(APTMUVehicles, _xlfn.CONCAT(B17, ",?"), ""), ",$", "")</f>
        <v>apt_half_6,apt_half_6_rev,apt_powercar,apt_powercar2,apt_half_2,apt_half_2_rev,apt_s_dm</v>
      </c>
      <c r="BS17" s="1" t="s">
        <v>177</v>
      </c>
      <c r="BT17" s="1" t="n">
        <v>7</v>
      </c>
      <c r="BU17" s="1" t="n">
        <v>185</v>
      </c>
      <c r="BW17" s="1" t="s">
        <v>132</v>
      </c>
      <c r="BX17" s="1" t="str">
        <f aca="false">VLOOKUP(J17,[1]Eras!$A$2:$C$10, 2, TRUE())</f>
        <v>lbr</v>
      </c>
      <c r="BY17" s="18" t="s">
        <v>178</v>
      </c>
      <c r="BZ17" s="1" t="str">
        <f aca="false">CONCATENATE(BX17,"_",BY17)</f>
        <v>lbr_Express (Electric)</v>
      </c>
      <c r="CA17" s="1" t="str">
        <f aca="false">_xlfn.CONCAT(H17, "_",I17)</f>
        <v>none_RAIL</v>
      </c>
      <c r="CB17" s="20" t="str">
        <f aca="false" t="array" ref="CB17:CB17">_xlfn.CONCAT("{BLACK}Length: {GOLD}", TEXT(ROUNDUP(IF(AQ17&lt;&gt;"",SUM(VALUE(_xlfn.TEXTSPLIT(AQ17, ","))), SUM(VALUE(_xlfn.TEXTSPLIT(AN17, ",")))*IF(M17, M17, 1))/16, 1), "#,##0.0"), " tiles{}")</f>
        <v>{BLACK}Length: {GOLD}0.9 tiles{}</v>
      </c>
      <c r="CC17" s="1" t="str">
        <f aca="false">VLOOKUP($CA17, Constants!$M:$N, 2, FALSE())</f>
        <v/>
      </c>
      <c r="CD17" s="1" t="str">
        <f aca="false">IF(M17&gt;1,_xlfn.CONCAT("{BLACK}Cars: {GOLD}", M17),"")</f>
        <v/>
      </c>
      <c r="CE17" s="1" t="s">
        <v>182</v>
      </c>
      <c r="CF17" s="1" t="str">
        <f aca="false">IF(BW17="BRAKE","{YELLOW}Speed bonus for slow wagons{}",IF(BU17&gt;190,CONCATENATE("{YELLOW}",INT((BU17-185)/1.85),"% Bonus for long distance travel{}"),IF(AND(BU17&lt;180,BU17&lt;&gt;0),CONCATENATE("{YELLOW}",INT((185-BU17)/1.85),"% Penalty for long distance travel{}"),"")))</f>
        <v/>
      </c>
      <c r="CG17" s="1" t="str">
        <f aca="false">_xlfn.CONCAT(CC17,IF(CC17 &lt;&gt; "", " ", ""),CD17,IF(OR(CD17&lt;&gt;"", CC17&lt;&gt;""), "{}",""), CB17, CF17,"{SILVER}", CE17)</f>
        <v>{BLACK}Length: {GOLD}0.9 tiles{}{SILVER}The APT-Q was proposed to rationalise existing APT-P stock into usable 6-car tains, with a single non-driving power car and a new-build DVT.</v>
      </c>
      <c r="CH17" s="1"/>
      <c r="CI17" s="1"/>
    </row>
    <row r="18" customFormat="false" ht="13.8" hidden="false" customHeight="false" outlineLevel="0" collapsed="false">
      <c r="A18" s="1" t="s">
        <v>183</v>
      </c>
      <c r="B18" s="1" t="s">
        <v>184</v>
      </c>
      <c r="C18" s="1" t="n">
        <v>384</v>
      </c>
      <c r="D18" s="1" t="n">
        <v>386</v>
      </c>
      <c r="E18" s="1" t="n">
        <v>386</v>
      </c>
      <c r="F18" s="1" t="s">
        <v>88</v>
      </c>
      <c r="G18" s="1" t="s">
        <v>89</v>
      </c>
      <c r="H18" s="1" t="s">
        <v>148</v>
      </c>
      <c r="I18" s="1" t="s">
        <v>91</v>
      </c>
      <c r="J18" s="1" t="n">
        <v>1986</v>
      </c>
      <c r="K18" s="1" t="n">
        <v>1991</v>
      </c>
      <c r="L18" s="1" t="n">
        <v>1994</v>
      </c>
      <c r="M18" s="1" t="n">
        <v>10</v>
      </c>
      <c r="N18" s="1" t="n">
        <v>10</v>
      </c>
      <c r="W18" s="18" t="n">
        <v>258.2</v>
      </c>
      <c r="Y18" s="1" t="n">
        <v>4</v>
      </c>
      <c r="Z18" s="1" t="n">
        <v>5</v>
      </c>
      <c r="AA18" s="4" t="n">
        <f aca="false">IF(AND(W18&gt;0,Z18&gt;0),(Z18/((W18+X18)*10)),"")</f>
        <v>0.00193648334624322</v>
      </c>
      <c r="AB18" s="1" t="n">
        <v>140</v>
      </c>
      <c r="AC18" s="1" t="n">
        <f aca="false">ROUND(AB18*1.6, 0)</f>
        <v>224</v>
      </c>
      <c r="AF18" s="1" t="n">
        <v>20.9</v>
      </c>
      <c r="AG18" s="1" t="n">
        <v>20.9</v>
      </c>
      <c r="AH18" s="1" t="n">
        <v>2.7</v>
      </c>
      <c r="AI18" s="1" t="n">
        <v>3.5</v>
      </c>
      <c r="AJ18" s="5" t="n">
        <v>49</v>
      </c>
      <c r="AK18" s="1" t="str">
        <f aca="false">CONCATENATE(VLOOKUP(AL18, '[1]Voxel Sizes'!$A$2:$B$18,2,FALSE()),"x",INT(AH18*15), "x", INT(AI18*15))</f>
        <v>198x40x52</v>
      </c>
      <c r="AL18" s="1" t="n">
        <f aca="false">ROUND(15*((AG18*10)/256),0)</f>
        <v>12</v>
      </c>
      <c r="AN18" s="1" t="str">
        <f aca="false">CONCATENATE(VLOOKUP(AL18,Constants!$A$2:$C$16,IF(AM18&lt;&gt;"", 3, 2), FALSE()),IF(AM18&lt;&gt;"",CONCATENATE(",",VLOOKUP(AM18,$B:$AN,38,FALSE())),""))</f>
        <v>4,4,4</v>
      </c>
      <c r="AR18" s="1" t="s">
        <v>185</v>
      </c>
      <c r="AT18" s="1" t="s">
        <v>186</v>
      </c>
      <c r="AU18" s="1" t="s">
        <v>187</v>
      </c>
      <c r="AX18" s="1" t="n">
        <v>20</v>
      </c>
      <c r="AY18" s="6" t="n">
        <f aca="false">IF(L18&lt;&gt;"",MAX(16,(L18-J18)+8),"")</f>
        <v>16</v>
      </c>
      <c r="AZ18" s="1" t="n">
        <v>-45</v>
      </c>
      <c r="BA18" s="1" t="n">
        <v>-65</v>
      </c>
      <c r="BB18" s="1" t="n">
        <f aca="false">MIN(AB18/150, 1)*30</f>
        <v>28</v>
      </c>
      <c r="BC18" s="1" t="n">
        <f aca="false">MIN(N18/4000, 1)*20</f>
        <v>0.05</v>
      </c>
      <c r="BD18" s="1" t="n">
        <f aca="false">MIN(Z18/400,1)*20</f>
        <v>0.25</v>
      </c>
      <c r="BE18" s="4" t="n">
        <f aca="false">1-(MAX(J18-1900, 0)/750)</f>
        <v>0.885333333333333</v>
      </c>
      <c r="BF18" s="1" t="n">
        <f aca="false">((MAX($M18,1)*MIN($AJ18/300,1)))*IF(G18="Wagon",50,10)</f>
        <v>16.3333333333333</v>
      </c>
      <c r="BG18" s="1" t="n">
        <f aca="false">VLOOKUP($H18,Constants!$I:$K, 2, FALSE())</f>
        <v>0.85</v>
      </c>
      <c r="BH18" s="1" t="n">
        <f aca="false">VLOOKUP($H18,Constants!$I:$K, 3, FALSE())*IF(AND(G18="multiple_unit",AB18&lt;110),0.75,1)</f>
        <v>2.3</v>
      </c>
      <c r="BI18" s="1" t="n">
        <f aca="false">INT(POWER((([1]Constants!$G$2+$BB18+$BC18+$BD18+$BF18)*$BE18)*$BH18, 1.05))+$BA18</f>
        <v>62</v>
      </c>
      <c r="BJ18" s="1" t="n">
        <f aca="false">INT(POWER(((([1]Constants!$G$1+$BB18+$BC18+$BD18+$BF18)*($BE18))*$BG18),IF($G18="wagon",1,1.2)))+$AZ18</f>
        <v>51</v>
      </c>
      <c r="BK18" s="19" t="n">
        <f aca="false">BI18*IF($G18="wagon",62.5,781.25)</f>
        <v>48437.5</v>
      </c>
      <c r="BL18" s="19" t="n">
        <f aca="false">BJ18*IF($G18="wagon",2.73,81.25)</f>
        <v>4143.75</v>
      </c>
      <c r="BO18" s="1" t="n">
        <v>1</v>
      </c>
      <c r="BP18" s="1" t="n">
        <v>1</v>
      </c>
      <c r="BQ18" s="1" t="str">
        <f aca="false">_xlfn.ORG.LIBREOFFICE.REGEX(_xlfn.ORG.LIBREOFFICE.REGEX(APTMUVehicles, _xlfn.CONCAT(B18, ",?"), ""), ",$", "")</f>
        <v>apt_half_6,apt_half_6_rev,apt_powercar,apt_powercar2,apt_half_2,apt_half_2_rev,apt_q_dvt,apt_s_dm</v>
      </c>
      <c r="BS18" s="18" t="s">
        <v>188</v>
      </c>
      <c r="BT18" s="1" t="n">
        <v>7</v>
      </c>
      <c r="BU18" s="1" t="n">
        <v>222</v>
      </c>
      <c r="BW18" s="1" t="s">
        <v>96</v>
      </c>
      <c r="BX18" s="1" t="str">
        <f aca="false">VLOOKUP(J18,[1]Eras!$A$2:$C$10, 2, TRUE())</f>
        <v>lbr</v>
      </c>
      <c r="BY18" s="18" t="s">
        <v>153</v>
      </c>
      <c r="BZ18" s="1" t="str">
        <f aca="false">CONCATENATE(BX18,"_",BY18)</f>
        <v>lbr_EMU (Express)</v>
      </c>
      <c r="CA18" s="1" t="str">
        <f aca="false">_xlfn.CONCAT(H18, "_",I18)</f>
        <v>none_RAIL</v>
      </c>
      <c r="CB18" s="20" t="str">
        <f aca="false" t="array" ref="CB18:CB18">_xlfn.CONCAT("{BLACK}Length: {GOLD}", TEXT(ROUNDUP(IF(AQ18&lt;&gt;"",SUM(VALUE(_xlfn.TEXTSPLIT(AQ18, ","))), SUM(VALUE(_xlfn.TEXTSPLIT(AN18, ",")))*IF(M18, M18, 1))/16, 1), "#,##0.0"), " tiles{}")</f>
        <v>{BLACK}Length: {GOLD}7.5 tiles{}</v>
      </c>
      <c r="CC18" s="1" t="str">
        <f aca="false">VLOOKUP($CA18, Constants!$M:$N, 2, FALSE())</f>
        <v/>
      </c>
      <c r="CD18" s="1" t="str">
        <f aca="false">IF(M18&gt;1,_xlfn.CONCAT("{BLACK}Cars: {GOLD}", M18),"")</f>
        <v>{BLACK}Cars: {GOLD}10</v>
      </c>
      <c r="CE18" s="1" t="s">
        <v>189</v>
      </c>
      <c r="CF18" s="1" t="str">
        <f aca="false">IF(BW18="BRAKE","{YELLOW}Speed bonus for slow wagons{}",IF(BU18&gt;190,CONCATENATE("{YELLOW}",INT((BU18-185)/1.85),"% Bonus for long distance travel{}"),IF(AND(BU18&lt;180,BU18&lt;&gt;0),CONCATENATE("{YELLOW}",INT((185-BU18)/1.85),"% Penalty for long distance travel{}"),"")))</f>
        <v>{YELLOW}20% Bonus for long distance travel{}</v>
      </c>
      <c r="CG18" s="1" t="str">
        <f aca="false">_xlfn.CONCAT(CC18,IF(CC18 &lt;&gt; "", " ", ""),CD18,IF(OR(CD18&lt;&gt;"", CC18&lt;&gt;""), "{}",""), CB18, CF18,"{SILVER}", CE18)</f>
        <v>{BLACK}Cars: {GOLD}10{}{BLACK}Length: {GOLD}7.5 tiles{}{YELLOW}20% Bonus for long distance travel{}{SILVER}An articulated trailer rake of APT-S Vehicles, intended to run with a Driving Motor and a DVT</v>
      </c>
      <c r="CH18" s="1"/>
      <c r="CI18" s="1"/>
    </row>
    <row r="19" customFormat="false" ht="13.8" hidden="false" customHeight="false" outlineLevel="0" collapsed="false">
      <c r="A19" s="1" t="s">
        <v>190</v>
      </c>
      <c r="B19" s="1" t="s">
        <v>191</v>
      </c>
      <c r="C19" s="1" t="n">
        <v>386</v>
      </c>
      <c r="E19" s="1" t="n">
        <v>388</v>
      </c>
      <c r="F19" s="1" t="s">
        <v>88</v>
      </c>
      <c r="G19" s="1" t="s">
        <v>89</v>
      </c>
      <c r="H19" s="1" t="s">
        <v>148</v>
      </c>
      <c r="I19" s="1" t="s">
        <v>91</v>
      </c>
      <c r="J19" s="1" t="n">
        <v>1986</v>
      </c>
      <c r="K19" s="1" t="n">
        <v>1991</v>
      </c>
      <c r="L19" s="1" t="n">
        <v>1994</v>
      </c>
      <c r="M19" s="1" t="n">
        <v>6</v>
      </c>
      <c r="N19" s="1" t="n">
        <v>10</v>
      </c>
      <c r="W19" s="1" t="n">
        <v>209.6</v>
      </c>
      <c r="Y19" s="1" t="n">
        <v>4</v>
      </c>
      <c r="Z19" s="1" t="n">
        <v>5</v>
      </c>
      <c r="AA19" s="4" t="n">
        <f aca="false">IF(AND(W19&gt;0,Z19&gt;0),(Z19/((W19+X19)*10)),"")</f>
        <v>0.00238549618320611</v>
      </c>
      <c r="AB19" s="1" t="n">
        <v>140</v>
      </c>
      <c r="AC19" s="1" t="n">
        <f aca="false">ROUND(AB19*1.6, 0)</f>
        <v>224</v>
      </c>
      <c r="AF19" s="1" t="n">
        <v>20.9</v>
      </c>
      <c r="AG19" s="1" t="n">
        <v>20.9</v>
      </c>
      <c r="AH19" s="1" t="n">
        <v>2.7</v>
      </c>
      <c r="AI19" s="1" t="n">
        <v>3.5</v>
      </c>
      <c r="AJ19" s="5" t="n">
        <v>50</v>
      </c>
      <c r="AK19" s="1" t="str">
        <f aca="false">CONCATENATE(VLOOKUP(AL19, '[1]Voxel Sizes'!$A$2:$B$18,2,FALSE()),"x",INT(AH19*15), "x", INT(AI19*15))</f>
        <v>198x40x52</v>
      </c>
      <c r="AL19" s="1" t="n">
        <f aca="false">ROUND(15*((AG19*10)/256),0)</f>
        <v>12</v>
      </c>
      <c r="AN19" s="1" t="str">
        <f aca="false">CONCATENATE(VLOOKUP(AL19,Constants!$A$2:$C$16,IF(AM19&lt;&gt;"", 3, 2), FALSE()),IF(AM19&lt;&gt;"",CONCATENATE(",",VLOOKUP(AM19,$B:$AN,38,FALSE())),""))</f>
        <v>4,4,4</v>
      </c>
      <c r="AR19" s="1" t="s">
        <v>192</v>
      </c>
      <c r="AT19" s="1" t="s">
        <v>102</v>
      </c>
      <c r="AU19" s="1" t="s">
        <v>187</v>
      </c>
      <c r="AX19" s="1" t="n">
        <v>20</v>
      </c>
      <c r="AY19" s="6" t="n">
        <f aca="false">IF(L19&lt;&gt;"",MAX(16,(L19-J19)+8),"")</f>
        <v>16</v>
      </c>
      <c r="AZ19" s="1" t="n">
        <v>-45</v>
      </c>
      <c r="BA19" s="1" t="n">
        <v>-65</v>
      </c>
      <c r="BB19" s="1" t="n">
        <f aca="false">MIN(AB19/150, 1)*30</f>
        <v>28</v>
      </c>
      <c r="BC19" s="1" t="n">
        <f aca="false">MIN(N19/4000, 1)*20</f>
        <v>0.05</v>
      </c>
      <c r="BD19" s="1" t="n">
        <f aca="false">MIN(Z19/400,1)*20</f>
        <v>0.25</v>
      </c>
      <c r="BE19" s="4" t="n">
        <f aca="false">1-(MAX(J19-1900, 0)/750)</f>
        <v>0.885333333333333</v>
      </c>
      <c r="BF19" s="1" t="n">
        <f aca="false">((MAX($M19,1)*MIN($AJ19/300,1)))*IF(G19="Wagon",50,10)</f>
        <v>10</v>
      </c>
      <c r="BG19" s="1" t="n">
        <f aca="false">VLOOKUP($H19,Constants!$I:$K, 2, FALSE())</f>
        <v>0.85</v>
      </c>
      <c r="BH19" s="1" t="n">
        <f aca="false">VLOOKUP($H19,Constants!$I:$K, 3, FALSE())*IF(AND(G19="multiple_unit",AB19&lt;110),0.75,1)</f>
        <v>2.3</v>
      </c>
      <c r="BI19" s="1" t="n">
        <f aca="false">INT(POWER((([1]Constants!$G$2+$BB19+$BC19+$BD19+$BF19)*$BE19)*$BH19, 1.05))+$BA19</f>
        <v>45</v>
      </c>
      <c r="BJ19" s="1" t="n">
        <f aca="false">INT(POWER(((([1]Constants!$G$1+$BB19+$BC19+$BD19+$BF19)*($BE19))*$BG19),IF($G19="wagon",1,1.2)))+$AZ19</f>
        <v>38</v>
      </c>
      <c r="BK19" s="19" t="n">
        <f aca="false">BI19*IF($G19="wagon",62.5,781.25)</f>
        <v>35156.25</v>
      </c>
      <c r="BL19" s="19" t="n">
        <f aca="false">BJ19*IF($G19="wagon",2.73,81.25)</f>
        <v>3087.5</v>
      </c>
      <c r="BO19" s="1" t="n">
        <v>1</v>
      </c>
      <c r="BP19" s="1" t="n">
        <v>1</v>
      </c>
      <c r="BQ19" s="1" t="str">
        <f aca="false">_xlfn.ORG.LIBREOFFICE.REGEX(_xlfn.ORG.LIBREOFFICE.REGEX(APTMUVehicles, _xlfn.CONCAT(B19, ",?"), ""), ",$", "")</f>
        <v>apt_half_6,apt_half_6_rev,apt_powercar,apt_powercar2,apt_half_2,apt_half_2_rev,apt_q_dvt,apt_s_dm</v>
      </c>
      <c r="BS19" s="18" t="s">
        <v>193</v>
      </c>
      <c r="BT19" s="1" t="n">
        <v>7</v>
      </c>
      <c r="BU19" s="1" t="n">
        <v>222</v>
      </c>
      <c r="BW19" s="1" t="s">
        <v>96</v>
      </c>
      <c r="BX19" s="1" t="str">
        <f aca="false">VLOOKUP(J19,[1]Eras!$A$2:$C$10, 2, TRUE())</f>
        <v>lbr</v>
      </c>
      <c r="BY19" s="18" t="s">
        <v>153</v>
      </c>
      <c r="BZ19" s="1" t="str">
        <f aca="false">CONCATENATE(BX19,"_",BY19)</f>
        <v>lbr_EMU (Express)</v>
      </c>
      <c r="CA19" s="1" t="str">
        <f aca="false">_xlfn.CONCAT(H19, "_",I19)</f>
        <v>none_RAIL</v>
      </c>
      <c r="CB19" s="20" t="str">
        <f aca="false" t="array" ref="CB19:CB19">_xlfn.CONCAT("{BLACK}Length: {GOLD}", TEXT(ROUNDUP(IF(AQ19&lt;&gt;"",SUM(VALUE(_xlfn.TEXTSPLIT(AQ19, ","))), SUM(VALUE(_xlfn.TEXTSPLIT(AN19, ",")))*IF(M19, M19, 1))/16, 1), "#,##0.0"), " tiles{}")</f>
        <v>{BLACK}Length: {GOLD}4.5 tiles{}</v>
      </c>
      <c r="CC19" s="1" t="str">
        <f aca="false">VLOOKUP($CA19, Constants!$M:$N, 2, FALSE())</f>
        <v/>
      </c>
      <c r="CD19" s="1" t="str">
        <f aca="false">IF(M19&gt;1,_xlfn.CONCAT("{BLACK}Cars: {GOLD}", M19),"")</f>
        <v>{BLACK}Cars: {GOLD}6</v>
      </c>
      <c r="CE19" s="1" t="s">
        <v>189</v>
      </c>
      <c r="CF19" s="1" t="str">
        <f aca="false">IF(BW19="BRAKE","{YELLOW}Speed bonus for slow wagons{}",IF(BU19&gt;190,CONCATENATE("{YELLOW}",INT((BU19-185)/1.85),"% Bonus for long distance travel{}"),IF(AND(BU19&lt;180,BU19&lt;&gt;0),CONCATENATE("{YELLOW}",INT((185-BU19)/1.85),"% Penalty for long distance travel{}"),"")))</f>
        <v>{YELLOW}20% Bonus for long distance travel{}</v>
      </c>
      <c r="CG19" s="1" t="str">
        <f aca="false">_xlfn.CONCAT(CC19,IF(CC19 &lt;&gt; "", " ", ""),CD19,IF(OR(CD19&lt;&gt;"", CC19&lt;&gt;""), "{}",""), CB19, CF19,"{SILVER}", CE19)</f>
        <v>{BLACK}Cars: {GOLD}6{}{BLACK}Length: {GOLD}4.5 tiles{}{YELLOW}20% Bonus for long distance travel{}{SILVER}An articulated trailer rake of APT-S Vehicles, intended to run with a Driving Motor and a DVT</v>
      </c>
      <c r="CH19" s="1"/>
      <c r="CI19" s="1"/>
    </row>
    <row r="20" s="22" customFormat="true" ht="13.8" hidden="false" customHeight="false" outlineLevel="0" collapsed="false">
      <c r="A20" s="22" t="s">
        <v>194</v>
      </c>
      <c r="B20" s="22" t="s">
        <v>195</v>
      </c>
      <c r="C20" s="22" t="n">
        <v>473</v>
      </c>
      <c r="E20" s="22" t="n">
        <v>475</v>
      </c>
      <c r="F20" s="22" t="s">
        <v>88</v>
      </c>
      <c r="G20" s="22" t="s">
        <v>128</v>
      </c>
      <c r="H20" s="22" t="s">
        <v>129</v>
      </c>
      <c r="I20" s="22" t="s">
        <v>91</v>
      </c>
      <c r="J20" s="22" t="n">
        <v>2014</v>
      </c>
      <c r="N20" s="22" t="n">
        <v>1600</v>
      </c>
      <c r="O20" s="23" t="n">
        <v>1600</v>
      </c>
      <c r="P20" s="24"/>
      <c r="Q20" s="24"/>
      <c r="R20" s="24"/>
      <c r="S20" s="24"/>
      <c r="T20" s="24"/>
      <c r="U20" s="24"/>
      <c r="V20" s="24"/>
      <c r="W20" s="22" t="n">
        <v>78</v>
      </c>
      <c r="X20" s="23"/>
      <c r="Z20" s="22" t="n">
        <v>186</v>
      </c>
      <c r="AA20" s="25" t="n">
        <f aca="false">IF(AND(W20&gt;0,Z20&gt;0),(Z20/((W20+X20)*10)),"")</f>
        <v>0.238461538461538</v>
      </c>
      <c r="AB20" s="22" t="n">
        <v>90</v>
      </c>
      <c r="AC20" s="22" t="n">
        <f aca="false">ROUND(AB20*1.6, 0)</f>
        <v>144</v>
      </c>
      <c r="AF20" s="22" t="n">
        <v>16.36</v>
      </c>
      <c r="AG20" s="22" t="n">
        <v>16.36</v>
      </c>
      <c r="AJ20" s="26" t="n">
        <v>0</v>
      </c>
      <c r="AK20" s="22" t="str">
        <f aca="false">CONCATENATE(VLOOKUP(AL20, '[1]Voxel Sizes'!$A$2:$B$18,2,FALSE()),"x",INT(AH20*15), "x", INT(AI20*15))</f>
        <v>164x0x0</v>
      </c>
      <c r="AL20" s="22" t="n">
        <f aca="false">ROUND(15*((AG20*10)/256),0)</f>
        <v>10</v>
      </c>
      <c r="AN20" s="1" t="str">
        <f aca="false">CONCATENATE(VLOOKUP(AL20,Constants!$A$2:$C$16,IF(AM20&lt;&gt;"", 3, 2), FALSE()),IF(AM20&lt;&gt;"",CONCATENATE(",",VLOOKUP(AM20,$B:$AN,38,FALSE())),""))</f>
        <v>4,2,4</v>
      </c>
      <c r="AP20" s="27"/>
      <c r="AQ20" s="27"/>
      <c r="AX20" s="22" t="n">
        <v>33</v>
      </c>
      <c r="AY20" s="28" t="str">
        <f aca="false">IF(L20&lt;&gt;"",MAX(16,(L20-J20)+8),"")</f>
        <v/>
      </c>
      <c r="BB20" s="22" t="n">
        <f aca="false">MIN(AB20/150, 1)*30</f>
        <v>18</v>
      </c>
      <c r="BC20" s="22" t="n">
        <f aca="false">MIN(N20/4000, 1)*20</f>
        <v>8</v>
      </c>
      <c r="BD20" s="22" t="n">
        <f aca="false">MIN(Z20/400,1)*20</f>
        <v>9.3</v>
      </c>
      <c r="BE20" s="25" t="n">
        <f aca="false">1-(MAX(J20-1900, 0)/750)</f>
        <v>0.848</v>
      </c>
      <c r="BF20" s="22" t="n">
        <f aca="false">((MAX($M20,1)*MIN($AJ20/300,1)))*IF(G20="Wagon",50,10)</f>
        <v>0</v>
      </c>
      <c r="BG20" s="1" t="n">
        <f aca="false">VLOOKUP($H20,Constants!$I:$K, 2, FALSE())</f>
        <v>0.9</v>
      </c>
      <c r="BH20" s="1" t="n">
        <f aca="false">VLOOKUP($H20,Constants!$I:$K, 3, FALSE())*IF(AND(G20="multiple_unit",AB20&lt;110),0.75,1)</f>
        <v>2.5</v>
      </c>
      <c r="BI20" s="22" t="n">
        <f aca="false">INT(POWER((([1]Constants!$G$2+$BB20+$BC20+$BD20+$BF20)*$BE20)*$BH20, 1.05))+$BA20</f>
        <v>106</v>
      </c>
      <c r="BJ20" s="22" t="n">
        <f aca="false">INT(POWER(((([1]Constants!$G$1+$BB20+$BC20+$BD20+$BF20)*($BE20))*$BG20),IF($G20="wagon",1,1.2)))+$AZ20</f>
        <v>79</v>
      </c>
      <c r="BK20" s="29" t="n">
        <f aca="false">BI20*IF($G20="wagon",62.5,781.25)</f>
        <v>82812.5</v>
      </c>
      <c r="BL20" s="29" t="n">
        <f aca="false">BJ20*IF($G20="wagon",2.73,81.25)</f>
        <v>6418.75</v>
      </c>
      <c r="BT20" s="22" t="n">
        <v>10</v>
      </c>
      <c r="BX20" s="22" t="str">
        <f aca="false">VLOOKUP(J20,[1]Eras!$A$2:$C$10, 2, TRUE())</f>
        <v>mod</v>
      </c>
      <c r="BY20" s="21" t="s">
        <v>196</v>
      </c>
      <c r="BZ20" s="22" t="str">
        <f aca="false">CONCATENATE(BX20,"_",BY20)</f>
        <v>mod_MT (Electric)</v>
      </c>
      <c r="CA20" s="22" t="str">
        <f aca="false">_xlfn.CONCAT(H20, "_",I20)</f>
        <v>dual_power_RAIL</v>
      </c>
      <c r="CB20" s="30" t="str">
        <f aca="false" t="array" ref="CB20:CB20">_xlfn.CONCAT("{BLACK}Length: {GOLD}", TEXT(ROUNDUP(IF(AQ20&lt;&gt;"",SUM(VALUE(_xlfn.TEXTSPLIT(AQ20, ","))), SUM(VALUE(_xlfn.TEXTSPLIT(AN20, ",")))*IF(M20, M20, 1))/16, 1), "#,##0.0"), " tiles{}")</f>
        <v>{BLACK}Length: {GOLD}0.7 tiles{}</v>
      </c>
      <c r="CC20" s="22" t="str">
        <f aca="false">VLOOKUP($CA20, [1]Constants!$M$1:$N$1048576, 2, FALSE())</f>
        <v>{BLACK}Powered by: {GOLD}750V DC / Diesel</v>
      </c>
      <c r="CD20" s="22" t="str">
        <f aca="false">IF(M20&gt;1,_xlfn.CONCAT("{BLACK}Cars: {GOLD}", M20),"")</f>
        <v/>
      </c>
      <c r="CE20" s="22" t="s">
        <v>197</v>
      </c>
      <c r="CF20" s="1" t="str">
        <f aca="false">IF(BW20="BRAKE","{YELLOW}Speed bonus for slow wagons{}",IF(BU20&gt;190,CONCATENATE("{YELLOW}",INT((BU20-185)/1.85),"% Bonus for long distance travel{}"),IF(AND(BU20&lt;180,BU20&lt;&gt;0),CONCATENATE("{YELLOW}",INT((185-BU20)/1.85),"% Penalty for long distance travel{}"),"")))</f>
        <v/>
      </c>
      <c r="CG20" s="1" t="str">
        <f aca="false">_xlfn.CONCAT(CC20,IF(CC20 &lt;&gt; "", " ", ""),CD20,IF(OR(CD20&lt;&gt;"", CC20&lt;&gt;""), "{}",""), CB20, CF20,"{SILVER}", CE20)</f>
        <v>{BLACK}Powered by: {GOLD}750V DC / Diesel {}{BLACK}Length: {GOLD}0.7 tiles{}{SILVER}These re-engined and modernized Class 73s retained their ability to run from the third rail but received diesel engines capable of operating at an equivalent power level.</v>
      </c>
      <c r="CJ20" s="0"/>
    </row>
    <row r="21" s="22" customFormat="true" ht="13.8" hidden="false" customHeight="false" outlineLevel="0" collapsed="false">
      <c r="A21" s="1" t="s">
        <v>198</v>
      </c>
      <c r="B21" s="1" t="s">
        <v>199</v>
      </c>
      <c r="C21" s="1" t="n">
        <v>20</v>
      </c>
      <c r="D21" s="1"/>
      <c r="E21" s="1" t="n">
        <v>1020</v>
      </c>
      <c r="F21" s="1" t="s">
        <v>88</v>
      </c>
      <c r="G21" s="1" t="s">
        <v>200</v>
      </c>
      <c r="H21" s="1" t="s">
        <v>200</v>
      </c>
      <c r="I21" s="1" t="s">
        <v>91</v>
      </c>
      <c r="J21" s="1" t="n">
        <v>1907</v>
      </c>
      <c r="K21" s="1" t="n">
        <v>1950</v>
      </c>
      <c r="L21" s="1" t="n">
        <v>1961</v>
      </c>
      <c r="M21" s="1"/>
      <c r="N21" s="1"/>
      <c r="O21" s="2"/>
      <c r="P21" s="3"/>
      <c r="Q21" s="3"/>
      <c r="R21" s="3"/>
      <c r="S21" s="3"/>
      <c r="T21" s="3"/>
      <c r="U21" s="3"/>
      <c r="V21" s="3"/>
      <c r="W21" s="1" t="n">
        <v>12.4</v>
      </c>
      <c r="X21" s="2"/>
      <c r="Y21" s="1" t="n">
        <v>3</v>
      </c>
      <c r="Z21" s="1"/>
      <c r="AA21" s="4" t="str">
        <f aca="false">IF(AND(W21&gt;0,Z21&gt;0),(Z21/((W21+X21)*10)),"")</f>
        <v/>
      </c>
      <c r="AB21" s="1" t="n">
        <v>50</v>
      </c>
      <c r="AC21" s="1" t="n">
        <f aca="false">ROUND(AB21*1.6, 0)</f>
        <v>80</v>
      </c>
      <c r="AD21" s="1"/>
      <c r="AE21" s="1"/>
      <c r="AF21" s="1" t="n">
        <v>6</v>
      </c>
      <c r="AG21" s="1" t="n">
        <v>8</v>
      </c>
      <c r="AH21" s="1" t="n">
        <v>2.5</v>
      </c>
      <c r="AI21" s="1" t="n">
        <v>3.35</v>
      </c>
      <c r="AJ21" s="5" t="n">
        <v>13</v>
      </c>
      <c r="AK21" s="1" t="str">
        <f aca="false">CONCATENATE(VLOOKUP(AL21, '[1]Voxel Sizes'!$A$2:$B$18,2,FALSE()),"x",INT(AH21*15), "x", INT(AI21*15))</f>
        <v>82x37x50</v>
      </c>
      <c r="AL21" s="1" t="n">
        <f aca="false">ROUND(15*((AG21*10)/256),0)</f>
        <v>5</v>
      </c>
      <c r="AM21" s="1"/>
      <c r="AN21" s="1" t="str">
        <f aca="false">CONCATENATE(VLOOKUP(AL21,Constants!$A$2:$C$16,IF(AM21&lt;&gt;"", 3, 2), FALSE()),IF(AM21&lt;&gt;"",CONCATENATE(",",VLOOKUP(AM21,$B:$AN,38,FALSE())),""))</f>
        <v>2,1,2</v>
      </c>
      <c r="AO21" s="1"/>
      <c r="AP21" s="7"/>
      <c r="AQ21" s="7"/>
      <c r="AR21" s="1"/>
      <c r="AS21" s="1"/>
      <c r="AT21" s="1"/>
      <c r="AU21" s="1"/>
      <c r="AV21" s="1"/>
      <c r="AW21" s="1"/>
      <c r="AX21" s="1" t="n">
        <v>30</v>
      </c>
      <c r="AY21" s="6" t="n">
        <f aca="false">IF(L21&lt;&gt;"",MAX(16,(L21-J21)+8),"")</f>
        <v>62</v>
      </c>
      <c r="AZ21" s="1" t="n">
        <v>5</v>
      </c>
      <c r="BA21" s="1" t="n">
        <v>0</v>
      </c>
      <c r="BB21" s="1" t="n">
        <f aca="false">MIN(AB21/150, 1)*30</f>
        <v>10</v>
      </c>
      <c r="BC21" s="1" t="n">
        <f aca="false">MIN(N21/4000, 1)*20</f>
        <v>0</v>
      </c>
      <c r="BD21" s="1" t="n">
        <f aca="false">MIN(Z21/400,1)*20</f>
        <v>0</v>
      </c>
      <c r="BE21" s="4" t="n">
        <f aca="false">1-(MAX(J21-1900, 0)/750)</f>
        <v>0.990666666666667</v>
      </c>
      <c r="BF21" s="1" t="n">
        <f aca="false">((MAX($M21,1)*MIN($AJ21/300,1)))*IF(G21="Wagon",50,10)</f>
        <v>2.16666666666667</v>
      </c>
      <c r="BG21" s="1" t="n">
        <f aca="false">VLOOKUP($H21,Constants!$I:$K, 2, FALSE())</f>
        <v>1</v>
      </c>
      <c r="BH21" s="1" t="n">
        <f aca="false">VLOOKUP($H21,Constants!$I:$K, 3, FALSE())*IF(AND(G21="multiple_unit",AB21&lt;110),0.75,1)</f>
        <v>0.45</v>
      </c>
      <c r="BI21" s="1" t="n">
        <f aca="false">INT(POWER((([1]Constants!$G$2+$BB21+$BC21+$BD21+$BF21)*$BE21)*$BH21, 1.05))+$BA21</f>
        <v>8</v>
      </c>
      <c r="BJ21" s="1" t="n">
        <f aca="false">INT(POWER(((([1]Constants!$G$1+$BB21+$BC21+$BD21+$BF21)*($BE21))*$BG21),IF($G21="wagon",1,1.2)))+$AZ21</f>
        <v>31</v>
      </c>
      <c r="BK21" s="19" t="n">
        <f aca="false">BI21*IF($G21="wagon",62.5,781.25)</f>
        <v>500</v>
      </c>
      <c r="BL21" s="19" t="n">
        <f aca="false">BJ21*IF($G21="wagon",2.73,81.25)</f>
        <v>84.63</v>
      </c>
      <c r="BM21" s="1"/>
      <c r="BN21" s="1"/>
      <c r="BO21" s="1"/>
      <c r="BP21" s="1"/>
      <c r="BQ21" s="1"/>
      <c r="BR21" s="1"/>
      <c r="BS21" s="1"/>
      <c r="BT21" s="1" t="n">
        <v>1</v>
      </c>
      <c r="BU21" s="1" t="n">
        <v>185</v>
      </c>
      <c r="BV21" s="21" t="s">
        <v>201</v>
      </c>
      <c r="BW21" s="1" t="s">
        <v>202</v>
      </c>
      <c r="BX21" s="1" t="str">
        <f aca="false">VLOOKUP(J21,[1]Eras!$A$2:$C$10, 2, TRUE())</f>
        <v>edw</v>
      </c>
      <c r="BY21" s="18" t="s">
        <v>203</v>
      </c>
      <c r="BZ21" s="1" t="str">
        <f aca="false">CONCATENATE(BX21,"_",BY21)</f>
        <v>edw_Tanker</v>
      </c>
      <c r="CA21" s="1" t="str">
        <f aca="false">_xlfn.CONCAT(H21, "_",I21)</f>
        <v>wagon_RAIL</v>
      </c>
      <c r="CB21" s="20" t="str">
        <f aca="false" t="array" ref="CB21:CB21">_xlfn.CONCAT("{BLACK}Length: {GOLD}", TEXT(ROUNDUP(IF(AQ21&lt;&gt;"",SUM(VALUE(_xlfn.TEXTSPLIT(AQ21, ","))), SUM(VALUE(_xlfn.TEXTSPLIT(AN21, ",")))*IF(M21, M21, 1))/16, 1), "#,##0.0"), " tiles{}")</f>
        <v>{BLACK}Length: {GOLD}0.4 tiles{}</v>
      </c>
      <c r="CC21" s="1" t="str">
        <f aca="false">VLOOKUP($CA21, Constants!$M:$N, 2, FALSE())</f>
        <v/>
      </c>
      <c r="CD21" s="1" t="str">
        <f aca="false">IF(M21&gt;1,_xlfn.CONCAT("{BLACK}Cars: {GOLD}", M21),"")</f>
        <v/>
      </c>
      <c r="CE21" s="1" t="s">
        <v>204</v>
      </c>
      <c r="CF21" s="1" t="str">
        <f aca="false">IF(BW21="BRAKE","{YELLOW}Speed bonus for slow wagons{}",IF(BU21&gt;190,CONCATENATE("{YELLOW}",INT((BU21-185)/1.85),"% Bonus for long distance travel{}"),IF(AND(BU21&lt;180,BU21&lt;&gt;0),CONCATENATE("{YELLOW}",INT((185-BU21)/1.85),"% Penalty for long distance travel{}"),"")))</f>
        <v/>
      </c>
      <c r="CG21" s="1" t="str">
        <f aca="false">_xlfn.CONCAT(CC21,IF(CC21 &lt;&gt; "", " ", ""),CD21,IF(OR(CD21&lt;&gt;"", CC21&lt;&gt;""), "{}",""), CB21, CF21,"{SILVER}", CE21)</f>
        <v>{BLACK}Length: {GOLD}0.4 tiles{}{SILVER}The standard RCH Salt Wagon design of 1907 was long-lived in private ownership and saw some use beyond sodium chloride, which was largely used as part of the chemical industry.</v>
      </c>
      <c r="CH21" s="1"/>
      <c r="CI21" s="1"/>
      <c r="CJ21" s="0"/>
    </row>
    <row r="22" customFormat="false" ht="13.8" hidden="false" customHeight="false" outlineLevel="0" collapsed="false">
      <c r="A22" s="1" t="s">
        <v>205</v>
      </c>
      <c r="B22" s="1" t="s">
        <v>206</v>
      </c>
      <c r="C22" s="1" t="n">
        <v>25</v>
      </c>
      <c r="E22" s="1" t="n">
        <v>1025</v>
      </c>
      <c r="F22" s="1" t="s">
        <v>88</v>
      </c>
      <c r="G22" s="1" t="s">
        <v>200</v>
      </c>
      <c r="H22" s="1" t="s">
        <v>200</v>
      </c>
      <c r="I22" s="1" t="s">
        <v>91</v>
      </c>
      <c r="J22" s="1" t="n">
        <v>1955</v>
      </c>
      <c r="K22" s="1" t="n">
        <v>1980</v>
      </c>
      <c r="L22" s="1" t="n">
        <v>1987</v>
      </c>
      <c r="W22" s="1" t="n">
        <v>12.4</v>
      </c>
      <c r="Y22" s="1" t="n">
        <v>5</v>
      </c>
      <c r="AA22" s="4" t="str">
        <f aca="false">IF(AND(W22&gt;0,Z22&gt;0),(Z22/((W22+X22)*10)),"")</f>
        <v/>
      </c>
      <c r="AB22" s="1" t="n">
        <v>50</v>
      </c>
      <c r="AC22" s="1" t="n">
        <f aca="false">ROUND(AB22*1.6, 0)</f>
        <v>80</v>
      </c>
      <c r="AF22" s="1" t="n">
        <v>6</v>
      </c>
      <c r="AG22" s="1" t="n">
        <v>8</v>
      </c>
      <c r="AH22" s="1" t="n">
        <v>2.5</v>
      </c>
      <c r="AI22" s="1" t="n">
        <v>3.35</v>
      </c>
      <c r="AJ22" s="5" t="n">
        <v>20</v>
      </c>
      <c r="AK22" s="1" t="str">
        <f aca="false">CONCATENATE(VLOOKUP(AL22, '[1]Voxel Sizes'!$A$2:$B$18,2,FALSE()),"x",INT(AH22*15), "x", INT(AI22*15))</f>
        <v>82x37x50</v>
      </c>
      <c r="AL22" s="1" t="n">
        <f aca="false">ROUND(15*((AG22*10)/256),0)</f>
        <v>5</v>
      </c>
      <c r="AN22" s="1" t="str">
        <f aca="false">CONCATENATE(VLOOKUP(AL22,Constants!$A$2:$C$16,IF(AM22&lt;&gt;"", 3, 2), FALSE()),IF(AM22&lt;&gt;"",CONCATENATE(",",VLOOKUP(AM22,$B:$AN,38,FALSE())),""))</f>
        <v>2,1,2</v>
      </c>
      <c r="AX22" s="1" t="n">
        <v>30</v>
      </c>
      <c r="AY22" s="6" t="n">
        <f aca="false">IF(L22&lt;&gt;"",MAX(16,(L22-J22)+8),"")</f>
        <v>40</v>
      </c>
      <c r="AZ22" s="1" t="n">
        <v>5</v>
      </c>
      <c r="BB22" s="1" t="n">
        <f aca="false">MIN(AB22/150, 1)*30</f>
        <v>10</v>
      </c>
      <c r="BC22" s="1" t="n">
        <f aca="false">MIN(N22/4000, 1)*20</f>
        <v>0</v>
      </c>
      <c r="BD22" s="1" t="n">
        <f aca="false">MIN(Z22/400,1)*20</f>
        <v>0</v>
      </c>
      <c r="BE22" s="4" t="n">
        <f aca="false">1-(MAX(J22-1900, 0)/750)</f>
        <v>0.926666666666667</v>
      </c>
      <c r="BF22" s="1" t="n">
        <f aca="false">((MAX($M22,1)*MIN($AJ22/300,1)))*IF(G22="Wagon",50,10)</f>
        <v>3.33333333333333</v>
      </c>
      <c r="BG22" s="1" t="n">
        <f aca="false">VLOOKUP($H22,Constants!$I:$K, 2, FALSE())</f>
        <v>1</v>
      </c>
      <c r="BH22" s="1" t="n">
        <f aca="false">VLOOKUP($H22,Constants!$I:$K, 3, FALSE())*IF(AND(G22="multiple_unit",AB22&lt;110),0.75,1)</f>
        <v>0.45</v>
      </c>
      <c r="BI22" s="1" t="n">
        <f aca="false">INT(POWER((([1]Constants!$G$2+$BB22+$BC22+$BD22+$BF22)*$BE22)*$BH22, 1.05))+$BA22</f>
        <v>8</v>
      </c>
      <c r="BJ22" s="1" t="n">
        <f aca="false">INT(POWER(((([1]Constants!$G$1+$BB22+$BC22+$BD22+$BF22)*($BE22))*$BG22),IF($G22="wagon",1,1.2)))+$AZ22</f>
        <v>31</v>
      </c>
      <c r="BK22" s="19" t="n">
        <f aca="false">BI22*IF($G22="wagon",62.5,781.25)</f>
        <v>500</v>
      </c>
      <c r="BL22" s="19" t="n">
        <f aca="false">BJ22*IF($G22="wagon",2.73,81.25)</f>
        <v>84.63</v>
      </c>
      <c r="BT22" s="1" t="n">
        <v>1</v>
      </c>
      <c r="BU22" s="1" t="n">
        <v>185</v>
      </c>
      <c r="BV22" s="1" t="s">
        <v>201</v>
      </c>
      <c r="BW22" s="1" t="s">
        <v>207</v>
      </c>
      <c r="BX22" s="1" t="str">
        <f aca="false">VLOOKUP(J22,[1]Eras!$A$2:$C$10, 2, TRUE())</f>
        <v>dsl</v>
      </c>
      <c r="BY22" s="18" t="s">
        <v>203</v>
      </c>
      <c r="BZ22" s="1" t="str">
        <f aca="false">CONCATENATE(BX22,"_",BY22)</f>
        <v>dsl_Tanker</v>
      </c>
      <c r="CA22" s="1" t="str">
        <f aca="false">_xlfn.CONCAT(H22, "_",I22)</f>
        <v>wagon_RAIL</v>
      </c>
      <c r="CB22" s="20" t="str">
        <f aca="false" t="array" ref="CB22:CB22">_xlfn.CONCAT("{BLACK}Length: {GOLD}", TEXT(ROUNDUP(IF(AQ22&lt;&gt;"",SUM(VALUE(_xlfn.TEXTSPLIT(AQ22, ","))), SUM(VALUE(_xlfn.TEXTSPLIT(AN22, ",")))*IF(M22, M22, 1))/16, 1), "#,##0.0"), " tiles{}")</f>
        <v>{BLACK}Length: {GOLD}0.4 tiles{}</v>
      </c>
      <c r="CC22" s="1" t="str">
        <f aca="false">VLOOKUP($CA22, Constants!$M:$N, 2, FALSE())</f>
        <v/>
      </c>
      <c r="CD22" s="1" t="str">
        <f aca="false">IF(M22&gt;1,_xlfn.CONCAT("{BLACK}Cars: {GOLD}", M22),"")</f>
        <v/>
      </c>
      <c r="CE22" s="1" t="s">
        <v>208</v>
      </c>
      <c r="CF22" s="1" t="str">
        <f aca="false">IF(BW22="BRAKE","{YELLOW}Speed bonus for slow wagons{}",IF(BU22&gt;190,CONCATENATE("{YELLOW}",INT((BU22-185)/1.85),"% Bonus for long distance travel{}"),IF(AND(BU22&lt;180,BU22&lt;&gt;0),CONCATENATE("{YELLOW}",INT((185-BU22)/1.85),"% Penalty for long distance travel{}"),"")))</f>
        <v/>
      </c>
      <c r="CG22" s="1" t="str">
        <f aca="false">_xlfn.CONCAT(CC22,IF(CC22 &lt;&gt; "", " ", ""),CD22,IF(OR(CD22&lt;&gt;"", CC22&lt;&gt;""), "{}",""), CB22, CF22,"{SILVER}", CE22)</f>
        <v>{BLACK}Length: {GOLD}0.4 tiles{}{SILVER}The Presflo covered hopper was designed specifically to carry cement powder, being unloaded via a pressurized air connection and liquefaction of the cargo.</v>
      </c>
      <c r="CH22" s="1"/>
      <c r="CI22" s="1"/>
    </row>
    <row r="23" s="1" customFormat="true" ht="13.8" hidden="false" customHeight="false" outlineLevel="0" collapsed="false">
      <c r="A23" s="1" t="s">
        <v>209</v>
      </c>
      <c r="B23" s="1" t="s">
        <v>210</v>
      </c>
      <c r="F23" s="1" t="s">
        <v>88</v>
      </c>
      <c r="G23" s="1" t="s">
        <v>211</v>
      </c>
      <c r="H23" s="1" t="s">
        <v>200</v>
      </c>
      <c r="AN23" s="1" t="e">
        <f aca="false">CONCATENATE(VLOOKUP(AL23,Constants!$A$2:$C$16,IF(AM23&lt;&gt;"", 3, 2), FALSE()),IF(AM23&lt;&gt;"",CONCATENATE(",",VLOOKUP(AM23,$B:$AN,38,FALSE())),""))</f>
        <v>#N/A</v>
      </c>
      <c r="BG23" s="1" t="n">
        <f aca="false">VLOOKUP($H23,Constants!$I:$K, 2, FALSE())</f>
        <v>1</v>
      </c>
      <c r="BH23" s="1" t="n">
        <f aca="false">VLOOKUP($H23,Constants!$I:$K, 3, FALSE())*IF(AND(G23="multiple_unit",AB23&lt;110),0.75,1)</f>
        <v>0.45</v>
      </c>
      <c r="CC23" s="1" t="e">
        <f aca="false">VLOOKUP($CA23, Constants!$M:$N, 2, FALSE())</f>
        <v>#N/A</v>
      </c>
      <c r="CF23" s="1" t="str">
        <f aca="false">IF(BW23="BRAKE","{YELLOW}Speed bonus for slow wagons{}",IF(BU23&gt;190,CONCATENATE("{YELLOW}",INT((BU23-185)/1.85),"% Bonus for long distance travel{}"),IF(AND(BU23&lt;180,BU23&lt;&gt;0),CONCATENATE("{YELLOW}",INT((185-BU23)/1.85),"% Penalty for long distance travel{}"),"")))</f>
        <v/>
      </c>
      <c r="CG23" s="1" t="e">
        <f aca="false">_xlfn.CONCAT(CC23,IF(CC23 &lt;&gt; "", " ", ""),CD23,IF(OR(CD23&lt;&gt;"", CC23&lt;&gt;""), "{}",""), CB23, CF23,"{SILVER}", CE23)</f>
        <v>#N/A</v>
      </c>
      <c r="CJ23" s="22"/>
    </row>
    <row r="24" s="1" customFormat="true" ht="13.8" hidden="false" customHeight="false" outlineLevel="0" collapsed="false">
      <c r="A24" s="1" t="s">
        <v>212</v>
      </c>
      <c r="B24" s="1" t="s">
        <v>213</v>
      </c>
      <c r="F24" s="1" t="s">
        <v>88</v>
      </c>
      <c r="G24" s="1" t="s">
        <v>211</v>
      </c>
      <c r="H24" s="1" t="s">
        <v>200</v>
      </c>
      <c r="AN24" s="1" t="e">
        <f aca="false">CONCATENATE(VLOOKUP(AL24,Constants!$A$2:$C$16,IF(AM24&lt;&gt;"", 3, 2), FALSE()),IF(AM24&lt;&gt;"",CONCATENATE(",",VLOOKUP(AM24,$B:$AN,38,FALSE())),""))</f>
        <v>#N/A</v>
      </c>
      <c r="CG24" s="1" t="str">
        <f aca="false">_xlfn.CONCAT(CC24,IF(CC24 &lt;&gt; "", " ", ""),CD24,IF(OR(CD24&lt;&gt;"", CC24&lt;&gt;""), "{}",""), CB24, CF24,"{SILVER}", CE24)</f>
        <v>{SILVER}</v>
      </c>
      <c r="CJ24" s="22"/>
    </row>
    <row r="25" s="1" customFormat="true" ht="13.8" hidden="false" customHeight="false" outlineLevel="0" collapsed="false">
      <c r="A25" s="1" t="s">
        <v>214</v>
      </c>
      <c r="B25" s="1" t="s">
        <v>215</v>
      </c>
      <c r="F25" s="1" t="s">
        <v>88</v>
      </c>
      <c r="G25" s="1" t="s">
        <v>211</v>
      </c>
      <c r="H25" s="1" t="s">
        <v>200</v>
      </c>
      <c r="AN25" s="1" t="e">
        <f aca="false">CONCATENATE(VLOOKUP(AL25,Constants!$A$2:$C$16,IF(AM25&lt;&gt;"", 3, 2), FALSE()),IF(AM25&lt;&gt;"",CONCATENATE(",",VLOOKUP(AM25,$B:$AN,38,FALSE())),""))</f>
        <v>#N/A</v>
      </c>
      <c r="CG25" s="1" t="str">
        <f aca="false">_xlfn.CONCAT(CC25,IF(CC25 &lt;&gt; "", " ", ""),CD25,IF(OR(CD25&lt;&gt;"", CC25&lt;&gt;""), "{}",""), CB25, CF25,"{SILVER}", CE25)</f>
        <v>{SILVER}</v>
      </c>
      <c r="CJ25" s="22"/>
    </row>
    <row r="26" s="1" customFormat="true" ht="13.8" hidden="false" customHeight="false" outlineLevel="0" collapsed="false">
      <c r="A26" s="1" t="s">
        <v>216</v>
      </c>
      <c r="B26" s="1" t="s">
        <v>217</v>
      </c>
      <c r="F26" s="1" t="s">
        <v>88</v>
      </c>
      <c r="G26" s="1" t="s">
        <v>211</v>
      </c>
      <c r="H26" s="1" t="s">
        <v>200</v>
      </c>
      <c r="AN26" s="1" t="e">
        <f aca="false">CONCATENATE(VLOOKUP(AL26,Constants!$A$2:$C$16,IF(AM26&lt;&gt;"", 3, 2), FALSE()),IF(AM26&lt;&gt;"",CONCATENATE(",",VLOOKUP(AM26,$B:$AN,38,FALSE())),""))</f>
        <v>#N/A</v>
      </c>
      <c r="BG26" s="1" t="n">
        <f aca="false">VLOOKUP($H26,Constants!$I:$K, 2, FALSE())</f>
        <v>1</v>
      </c>
      <c r="BH26" s="1" t="n">
        <f aca="false">VLOOKUP($H26,Constants!$I:$K, 3, FALSE())*IF(AND(G26="multiple_unit",AB26&lt;110),0.75,1)</f>
        <v>0.45</v>
      </c>
      <c r="CC26" s="1" t="e">
        <f aca="false">VLOOKUP($CA26, Constants!$M:$N, 2, FALSE())</f>
        <v>#N/A</v>
      </c>
      <c r="CG26" s="1" t="e">
        <f aca="false">_xlfn.CONCAT(CC26,IF(CC26 &lt;&gt; "", " ", ""),CD26,IF(OR(CD26&lt;&gt;"", CC26&lt;&gt;""), "{}",""), CB26, CF26,"{SILVER}", CE26)</f>
        <v>#N/A</v>
      </c>
      <c r="CJ26" s="22"/>
    </row>
    <row r="27" customFormat="false" ht="13.8" hidden="false" customHeight="false" outlineLevel="0" collapsed="false">
      <c r="A27" s="1" t="s">
        <v>218</v>
      </c>
      <c r="B27" s="1" t="s">
        <v>219</v>
      </c>
      <c r="C27" s="1" t="n">
        <v>32</v>
      </c>
      <c r="E27" s="1" t="n">
        <v>1032</v>
      </c>
      <c r="F27" s="1" t="s">
        <v>88</v>
      </c>
      <c r="G27" s="1" t="s">
        <v>200</v>
      </c>
      <c r="H27" s="1" t="s">
        <v>200</v>
      </c>
      <c r="I27" s="1" t="s">
        <v>91</v>
      </c>
      <c r="J27" s="1" t="n">
        <v>1973</v>
      </c>
      <c r="W27" s="1" t="n">
        <v>22.7</v>
      </c>
      <c r="Y27" s="1" t="n">
        <v>5</v>
      </c>
      <c r="AA27" s="4" t="str">
        <f aca="false">IF(AND(W27&gt;0,Z27&gt;0),(Z27/((W27+X27)*10)),"")</f>
        <v/>
      </c>
      <c r="AB27" s="1" t="n">
        <v>75</v>
      </c>
      <c r="AC27" s="1" t="n">
        <f aca="false">ROUND(AB27*1.6, 0)</f>
        <v>120</v>
      </c>
      <c r="AF27" s="1" t="n">
        <v>18.3</v>
      </c>
      <c r="AG27" s="1" t="n">
        <v>18.3</v>
      </c>
      <c r="AH27" s="1" t="n">
        <v>2.7</v>
      </c>
      <c r="AI27" s="1" t="n">
        <v>3.8</v>
      </c>
      <c r="AJ27" s="5" t="n">
        <v>56</v>
      </c>
      <c r="AK27" s="1" t="str">
        <f aca="false">CONCATENATE(VLOOKUP(AL27, '[1]Voxel Sizes'!$A$2:$B$18,2,FALSE()),"x",INT(AH27*15), "x", INT(AI27*15))</f>
        <v>186x40x57</v>
      </c>
      <c r="AL27" s="1" t="n">
        <f aca="false">ROUND(15*((AG27*10)/256),0)</f>
        <v>11</v>
      </c>
      <c r="AN27" s="1" t="str">
        <f aca="false">CONCATENATE(VLOOKUP(AL27,Constants!$A$2:$C$16,IF(AM27&lt;&gt;"", 3, 2), FALSE()),IF(AM27&lt;&gt;"",CONCATENATE(",",VLOOKUP(AM27,$B:$AN,38,FALSE())),""))</f>
        <v>4,3,4</v>
      </c>
      <c r="AX27" s="1" t="n">
        <v>30</v>
      </c>
      <c r="AY27" s="6" t="str">
        <f aca="false">IF(L27&lt;&gt;"",MAX(16,(L27-J27)+8),"")</f>
        <v/>
      </c>
      <c r="BB27" s="1" t="n">
        <f aca="false">MIN(AB27/150, 1)*30</f>
        <v>15</v>
      </c>
      <c r="BC27" s="1" t="n">
        <f aca="false">MIN(N27/4000, 1)*20</f>
        <v>0</v>
      </c>
      <c r="BD27" s="1" t="n">
        <f aca="false">MIN(Z27/400,1)*20</f>
        <v>0</v>
      </c>
      <c r="BE27" s="4" t="n">
        <f aca="false">1-(MAX(J27-1900, 0)/750)</f>
        <v>0.902666666666667</v>
      </c>
      <c r="BF27" s="1" t="n">
        <f aca="false">((MAX($M27,1)*MIN($AJ27/300,1)))*IF(G27="Wagon",50,10)</f>
        <v>9.33333333333333</v>
      </c>
      <c r="BG27" s="1" t="n">
        <f aca="false">VLOOKUP($H27,Constants!$I:$K, 2, FALSE())</f>
        <v>1</v>
      </c>
      <c r="BH27" s="1" t="n">
        <f aca="false">VLOOKUP($H27,Constants!$I:$K, 3, FALSE())*IF(AND(G27="multiple_unit",AB27&lt;110),0.75,1)</f>
        <v>0.45</v>
      </c>
      <c r="BI27" s="1" t="n">
        <f aca="false">INT(POWER((([1]Constants!$G$2+$BB27+$BC27+$BD27+$BF27)*$BE27)*$BH27, 1.05))+$BA27</f>
        <v>13</v>
      </c>
      <c r="BJ27" s="1" t="n">
        <f aca="false">INT(POWER(((([1]Constants!$G$1+$BB27+$BC27+$BD27+$BF27)*($BE27))*$BG27),IF($G27="wagon",1,1.2)))+$AZ27</f>
        <v>35</v>
      </c>
      <c r="BK27" s="19" t="n">
        <f aca="false">BI27*IF($G27="wagon",62.5,781.25)</f>
        <v>812.5</v>
      </c>
      <c r="BL27" s="19" t="n">
        <f aca="false">BJ27*IF($G27="wagon",2.73,81.25)</f>
        <v>95.55</v>
      </c>
      <c r="BT27" s="1" t="n">
        <v>1</v>
      </c>
      <c r="BU27" s="1" t="n">
        <v>185</v>
      </c>
      <c r="BV27" s="1" t="s">
        <v>220</v>
      </c>
      <c r="BW27" s="1" t="s">
        <v>221</v>
      </c>
      <c r="BX27" s="1" t="s">
        <v>141</v>
      </c>
      <c r="BY27" s="18" t="s">
        <v>203</v>
      </c>
      <c r="BZ27" s="1" t="str">
        <f aca="false">CONCATENATE(BX27,"_",BY27)</f>
        <v>lbr_Tanker</v>
      </c>
      <c r="CA27" s="1" t="str">
        <f aca="false">_xlfn.CONCAT(H27, "_",I27)</f>
        <v>wagon_RAIL</v>
      </c>
      <c r="CB27" s="20" t="str">
        <f aca="false" t="array" ref="CB27:CB27">_xlfn.CONCAT("{BLACK}Length: {GOLD}", TEXT(ROUNDUP(IF(AQ27&lt;&gt;"",SUM(VALUE(_xlfn.TEXTSPLIT(AQ27, ","))), SUM(VALUE(_xlfn.TEXTSPLIT(AN27, ",")))*IF(M27, M27, 1))/16, 1), "#,##0.0"), " tiles{}")</f>
        <v>{BLACK}Length: {GOLD}0.7 tiles{}</v>
      </c>
      <c r="CC27" s="1" t="str">
        <f aca="false">VLOOKUP($CA27, Constants!$M:$N, 2, FALSE())</f>
        <v/>
      </c>
      <c r="CD27" s="1" t="str">
        <f aca="false">IF(M27&gt;1,_xlfn.CONCAT("{BLACK}Cars: {GOLD}", M27),"")</f>
        <v/>
      </c>
      <c r="CE27" s="1" t="s">
        <v>222</v>
      </c>
      <c r="CF27" s="1" t="str">
        <f aca="false">IF(BW27="BRAKE","{YELLOW}Speed bonus for slow wagons{}",IF(BU27&gt;190,CONCATENATE("{YELLOW}",INT((BU27-185)/1.85),"% Bonus for long distance travel{}"),IF(AND(BU27&lt;180,BU27&lt;&gt;0),CONCATENATE("{YELLOW}",INT((185-BU27)/1.85),"% Penalty for long distance travel{}"),"")))</f>
        <v/>
      </c>
      <c r="CG27" s="1" t="str">
        <f aca="false">_xlfn.CONCAT(CC27,IF(CC27 &lt;&gt; "", " ", ""),CD27,IF(OR(CD27&lt;&gt;"", CC27&lt;&gt;""), "{}",""), CB27, CF27,"{SILVER}", CE27)</f>
        <v>{BLACK}Length: {GOLD}0.7 tiles{}{SILVER}Large bogie covered hoppers first appeared in Britain in the mid 1970s. These were frequently privately owned and registered as international vehicles. This slab-sided ‘Polybulk’ example was built in France.</v>
      </c>
      <c r="CH27" s="1"/>
      <c r="CI27" s="1"/>
    </row>
    <row r="28" s="1" customFormat="true" ht="13.8" hidden="false" customHeight="false" outlineLevel="0" collapsed="false">
      <c r="A28" s="1" t="s">
        <v>223</v>
      </c>
      <c r="B28" s="1" t="s">
        <v>224</v>
      </c>
      <c r="F28" s="1" t="s">
        <v>88</v>
      </c>
      <c r="G28" s="1" t="s">
        <v>211</v>
      </c>
      <c r="H28" s="1" t="s">
        <v>225</v>
      </c>
      <c r="AN28" s="1" t="e">
        <f aca="false">CONCATENATE(VLOOKUP(AL28,Constants!$A$2:$C$16,IF(AM28&lt;&gt;"", 3, 2), FALSE()),IF(AM28&lt;&gt;"",CONCATENATE(",",VLOOKUP(AM28,$B:$AN,38,FALSE())),""))</f>
        <v>#N/A</v>
      </c>
      <c r="BG28" s="1" t="n">
        <f aca="false">VLOOKUP($H28,Constants!$I:$K, 2, FALSE())</f>
        <v>1.5</v>
      </c>
      <c r="BH28" s="1" t="n">
        <f aca="false">VLOOKUP($H28,Constants!$I:$K, 3, FALSE())*IF(AND(G28="multiple_unit",AB28&lt;110),0.75,1)</f>
        <v>0.7</v>
      </c>
      <c r="CC28" s="1" t="e">
        <f aca="false">VLOOKUP($CA28, Constants!$M:$N, 2, FALSE())</f>
        <v>#N/A</v>
      </c>
      <c r="CG28" s="1" t="e">
        <f aca="false">_xlfn.CONCAT(CC28,IF(CC28 &lt;&gt; "", " ", ""),CD28,IF(OR(CD28&lt;&gt;"", CC28&lt;&gt;""), "{}",""), CB28, CF28,"{SILVER}", CE28)</f>
        <v>#N/A</v>
      </c>
      <c r="CJ28" s="22"/>
    </row>
    <row r="29" s="1" customFormat="true" ht="13.8" hidden="false" customHeight="false" outlineLevel="0" collapsed="false">
      <c r="A29" s="1" t="s">
        <v>226</v>
      </c>
      <c r="B29" s="1" t="s">
        <v>227</v>
      </c>
      <c r="F29" s="1" t="s">
        <v>88</v>
      </c>
      <c r="G29" s="1" t="s">
        <v>211</v>
      </c>
      <c r="H29" s="1" t="s">
        <v>228</v>
      </c>
      <c r="AN29" s="1" t="e">
        <f aca="false">CONCATENATE(VLOOKUP(AL29,Constants!$A$2:$C$16,IF(AM29&lt;&gt;"", 3, 2), FALSE()),IF(AM29&lt;&gt;"",CONCATENATE(",",VLOOKUP(AM29,$B:$AN,38,FALSE())),""))</f>
        <v>#N/A</v>
      </c>
      <c r="BG29" s="1" t="n">
        <f aca="false">VLOOKUP($H29,Constants!$I:$K, 2, FALSE())</f>
        <v>1.2</v>
      </c>
      <c r="BH29" s="1" t="n">
        <f aca="false">VLOOKUP($H29,Constants!$I:$K, 3, FALSE())*IF(AND(G29="multiple_unit",AB29&lt;110),0.75,1)</f>
        <v>0.6</v>
      </c>
      <c r="CG29" s="1" t="str">
        <f aca="false">_xlfn.CONCAT(CC29,IF(CC29 &lt;&gt; "", " ", ""),CD29,IF(OR(CD29&lt;&gt;"", CC29&lt;&gt;""), "{}",""), CB29, CF29,"{SILVER}", CE29)</f>
        <v>{SILVER}</v>
      </c>
      <c r="CJ29" s="22"/>
    </row>
    <row r="30" s="1" customFormat="true" ht="13.8" hidden="false" customHeight="false" outlineLevel="0" collapsed="false">
      <c r="A30" s="1" t="s">
        <v>229</v>
      </c>
      <c r="B30" s="1" t="s">
        <v>230</v>
      </c>
      <c r="C30" s="1" t="n">
        <v>103</v>
      </c>
      <c r="E30" s="1" t="n">
        <v>1103</v>
      </c>
      <c r="F30" s="1" t="s">
        <v>88</v>
      </c>
      <c r="G30" s="1" t="s">
        <v>200</v>
      </c>
      <c r="H30" s="1" t="s">
        <v>228</v>
      </c>
      <c r="I30" s="1" t="s">
        <v>91</v>
      </c>
      <c r="J30" s="22" t="n">
        <v>1975</v>
      </c>
      <c r="K30" s="22"/>
      <c r="L30" s="22"/>
      <c r="M30" s="22"/>
      <c r="N30" s="22"/>
      <c r="O30" s="23"/>
      <c r="P30" s="24"/>
      <c r="Q30" s="24"/>
      <c r="R30" s="24"/>
      <c r="S30" s="24"/>
      <c r="T30" s="24"/>
      <c r="U30" s="24"/>
      <c r="V30" s="24"/>
      <c r="W30" s="22" t="n">
        <v>34</v>
      </c>
      <c r="X30" s="23"/>
      <c r="Y30" s="22" t="n">
        <v>5</v>
      </c>
      <c r="Z30" s="22"/>
      <c r="AA30" s="25" t="str">
        <f aca="false">IF(AND(W30&gt;0,Z30&gt;0),(Z30/((W30+X30)*10)),"")</f>
        <v/>
      </c>
      <c r="AB30" s="22" t="n">
        <v>125</v>
      </c>
      <c r="AC30" s="22" t="n">
        <f aca="false">ROUND(AB30*1.6, 0)</f>
        <v>200</v>
      </c>
      <c r="AD30" s="22"/>
      <c r="AE30" s="22"/>
      <c r="AF30" s="22" t="n">
        <v>23</v>
      </c>
      <c r="AG30" s="22" t="n">
        <v>23</v>
      </c>
      <c r="AH30" s="22" t="n">
        <v>2.82</v>
      </c>
      <c r="AI30" s="22" t="n">
        <v>3.79</v>
      </c>
      <c r="AJ30" s="26" t="n">
        <v>24</v>
      </c>
      <c r="AK30" s="22" t="str">
        <f aca="false">CONCATENATE(VLOOKUP(AL30, '[1]Voxel Sizes'!$A$2:$B$18,2,FALSE()),"x",INT(AH30*15), "x", INT(AI30*15))</f>
        <v>214x42x56</v>
      </c>
      <c r="AL30" s="22" t="n">
        <f aca="false">ROUND(15*((AG30*10)/256),0)</f>
        <v>13</v>
      </c>
      <c r="AM30" s="22"/>
      <c r="AN30" s="1" t="str">
        <f aca="false">CONCATENATE(VLOOKUP(AL30,Constants!$A$2:$C$16,IF(AM30&lt;&gt;"", 3, 2), FALSE()),IF(AM30&lt;&gt;"",CONCATENATE(",",VLOOKUP(AM30,$B:$AN,38,FALSE())),""))</f>
        <v>4,5,4</v>
      </c>
      <c r="AO30" s="22"/>
      <c r="AP30" s="27"/>
      <c r="AQ30" s="27"/>
      <c r="AR30" s="22"/>
      <c r="AS30" s="22"/>
      <c r="AT30" s="22"/>
      <c r="AU30" s="22"/>
      <c r="AV30" s="22"/>
      <c r="AW30" s="22"/>
      <c r="AX30" s="22" t="n">
        <v>30</v>
      </c>
      <c r="AY30" s="28" t="str">
        <f aca="false">IF(L30&lt;&gt;"",MAX(16,(L30-J30)+8),"")</f>
        <v/>
      </c>
      <c r="AZ30" s="22" t="n">
        <v>-40</v>
      </c>
      <c r="BA30" s="22" t="n">
        <v>-5</v>
      </c>
      <c r="BB30" s="22" t="n">
        <f aca="false">MIN(AB30/150, 1)*30</f>
        <v>25</v>
      </c>
      <c r="BC30" s="22" t="n">
        <f aca="false">MIN(N30/4000, 1)*20</f>
        <v>0</v>
      </c>
      <c r="BD30" s="22" t="n">
        <f aca="false">MIN(Z30/400,1)*20</f>
        <v>0</v>
      </c>
      <c r="BE30" s="25" t="n">
        <f aca="false">1-(MAX(J30-1900, 0)/750)</f>
        <v>0.9</v>
      </c>
      <c r="BF30" s="22" t="n">
        <f aca="false">((MAX($M30,1)*MIN($AJ30/300,1)))*IF(G30="Wagon",50,10)</f>
        <v>4</v>
      </c>
      <c r="BG30" s="1" t="n">
        <f aca="false">VLOOKUP($H30,Constants!$I:$K, 2, FALSE())</f>
        <v>1.2</v>
      </c>
      <c r="BH30" s="1" t="n">
        <f aca="false">VLOOKUP($H30,Constants!$I:$K, 3, FALSE())*IF(AND(G30="multiple_unit",AB30&lt;110),0.75,1)</f>
        <v>0.6</v>
      </c>
      <c r="BI30" s="22" t="n">
        <f aca="false">INT(POWER((([1]Constants!$G$2+$BB30+$BC30+$BD30+$BF30)*$BE30)*$BH30, 1.05))+$BA30</f>
        <v>16</v>
      </c>
      <c r="BJ30" s="22" t="n">
        <f aca="false">INT(POWER(((([1]Constants!$G$1+$BB30+$BC30+$BD30+$BF30)*($BE30))*$BG30),IF($F30="wagon",1,1.2)))+$AZ30</f>
        <v>62</v>
      </c>
      <c r="BK30" s="29" t="n">
        <f aca="false">BI30*IF($F30="wagon",62.5,781.25)</f>
        <v>12500</v>
      </c>
      <c r="BL30" s="29" t="n">
        <f aca="false">BJ30*IF($F30="wagon",2.73,81.25)</f>
        <v>5037.5</v>
      </c>
      <c r="BM30" s="22"/>
      <c r="BN30" s="22"/>
      <c r="BO30" s="22"/>
      <c r="BP30" s="22"/>
      <c r="BQ30" s="22"/>
      <c r="BR30" s="22"/>
      <c r="BS30" s="22"/>
      <c r="BT30" s="22" t="n">
        <v>2</v>
      </c>
      <c r="BU30" s="22" t="n">
        <v>278</v>
      </c>
      <c r="BV30" s="22" t="s">
        <v>231</v>
      </c>
      <c r="BW30" s="22" t="s">
        <v>96</v>
      </c>
      <c r="BX30" s="22" t="str">
        <f aca="false">VLOOKUP(J30,[1]Eras!$A$2:$C$10, 2, TRUE())</f>
        <v>lbr</v>
      </c>
      <c r="BY30" s="21" t="s">
        <v>232</v>
      </c>
      <c r="BZ30" s="22" t="str">
        <f aca="false">CONCATENATE(BX30,"_",BY30)</f>
        <v>lbr_Carriage</v>
      </c>
      <c r="CA30" s="22" t="str">
        <f aca="false">_xlfn.CONCAT(H30, "_",I30)</f>
        <v>carriage_RAIL</v>
      </c>
      <c r="CB30" s="30" t="str">
        <f aca="false" t="array" ref="CB30:CB30">_xlfn.CONCAT("{BLACK}Length: {GOLD}", TEXT(ROUNDUP(IF(AQ30&lt;&gt;"",SUM(VALUE(_xlfn.TEXTSPLIT(AQ30, ","))), SUM(VALUE(_xlfn.TEXTSPLIT(AN30, ",")))*IF(M30, M30, 1))/16, 1), "#,##0.0"), " tiles{}")</f>
        <v>{BLACK}Length: {GOLD}0.9 tiles{}</v>
      </c>
      <c r="CC30" s="22" t="str">
        <f aca="false">VLOOKUP($CA30, [1]Constants!$M$1:$N$1048576, 2, FALSE())</f>
        <v/>
      </c>
      <c r="CD30" s="22" t="str">
        <f aca="false">IF(M30&gt;1,_xlfn.CONCAT("{BLACK}Cars: {GOLD}", M30),"")</f>
        <v/>
      </c>
      <c r="CE30" s="22" t="s">
        <v>233</v>
      </c>
      <c r="CF30" s="22" t="str">
        <f aca="false">IF(BW30="BRAKE","{YELLOW}Speed bonus for slow wagons{}",IF(BU30&gt;190,CONCATENATE("{YELLOW}",INT((BU30-185)/1.85),"% Bonus for long distance travel{}"),IF(AND(BU30&lt;180,BU30&lt;&gt;0),CONCATENATE("{YELLOW}",INT((185-BU30)/1.85),"% Penalty for long distance travel{}"),"")))</f>
        <v>{YELLOW}50% Bonus for long distance travel{}</v>
      </c>
      <c r="CG30" s="1" t="str">
        <f aca="false">_xlfn.CONCAT(CC30,IF(CC30 &lt;&gt; "", " ", ""),CD30,IF(OR(CD30&lt;&gt;"", CC30&lt;&gt;""), "{}",""), CB30, CF30,"{SILVER}", CE30)</f>
        <v>{BLACK}Length: {GOLD}0.9 tiles{}{YELLOW}50% Bonus for long distance travel{}{SILVER}The Mk3 Sleeper was a significant upgrade over the previous stock – being air conditioned and air sprung. Two berths per cabin unfortunately give these vehicles a low capacity.</v>
      </c>
      <c r="CH30" s="22"/>
      <c r="CJ30" s="22"/>
    </row>
    <row r="31" s="22" customFormat="true" ht="13.8" hidden="false" customHeight="false" outlineLevel="0" collapsed="false">
      <c r="AN31" s="1"/>
      <c r="CJ31" s="0"/>
    </row>
    <row r="32" s="1" customFormat="true" ht="13.8" hidden="false" customHeight="false" outlineLevel="0" collapsed="false">
      <c r="O32" s="31"/>
      <c r="P32" s="31"/>
      <c r="Q32" s="31"/>
      <c r="R32" s="31"/>
      <c r="S32" s="31"/>
      <c r="T32" s="32"/>
      <c r="U32" s="31"/>
      <c r="V32" s="31"/>
      <c r="X32" s="31"/>
      <c r="AA32" s="4"/>
      <c r="AJ32" s="31"/>
      <c r="AP32" s="31"/>
      <c r="AQ32" s="31"/>
      <c r="BE32" s="4"/>
      <c r="BK32" s="19"/>
      <c r="BL32" s="19"/>
      <c r="CJ32" s="22"/>
    </row>
    <row r="33" s="1" customFormat="true" ht="13.8" hidden="false" customHeight="false" outlineLevel="0" collapsed="false">
      <c r="O33" s="31"/>
      <c r="P33" s="31"/>
      <c r="Q33" s="31"/>
      <c r="R33" s="31"/>
      <c r="S33" s="31"/>
      <c r="T33" s="32"/>
      <c r="U33" s="31"/>
      <c r="V33" s="31"/>
      <c r="X33" s="31"/>
      <c r="AA33" s="4"/>
      <c r="AJ33" s="31"/>
      <c r="AP33" s="31"/>
      <c r="AQ33" s="31"/>
      <c r="BE33" s="4"/>
      <c r="BK33" s="19"/>
      <c r="BL33" s="19"/>
      <c r="CJ33" s="22"/>
    </row>
    <row r="34" s="1" customFormat="true" ht="13.5" hidden="false" customHeight="true" outlineLevel="0" collapsed="false">
      <c r="O34" s="31"/>
      <c r="P34" s="31"/>
      <c r="Q34" s="31"/>
      <c r="R34" s="31"/>
      <c r="S34" s="31"/>
      <c r="T34" s="32"/>
      <c r="U34" s="31"/>
      <c r="V34" s="31"/>
      <c r="X34" s="31"/>
      <c r="AA34" s="4"/>
      <c r="AJ34" s="31"/>
      <c r="AP34" s="31"/>
      <c r="AQ34" s="31"/>
      <c r="BE34" s="4"/>
      <c r="BK34" s="19"/>
      <c r="BL34" s="19"/>
      <c r="CJ34" s="22"/>
    </row>
    <row r="35" s="1" customFormat="true" ht="13.8" hidden="false" customHeight="false" outlineLevel="0" collapsed="false">
      <c r="CJ35" s="22"/>
    </row>
    <row r="36" s="1" customFormat="true" ht="13.8" hidden="false" customHeight="false" outlineLevel="0" collapsed="false">
      <c r="O36" s="31"/>
      <c r="P36" s="31"/>
      <c r="Q36" s="31"/>
      <c r="R36" s="31"/>
      <c r="S36" s="31"/>
      <c r="T36" s="32"/>
      <c r="U36" s="31"/>
      <c r="V36" s="31"/>
      <c r="X36" s="31"/>
      <c r="AA36" s="4"/>
      <c r="AJ36" s="31"/>
      <c r="AP36" s="31"/>
      <c r="AQ36" s="31"/>
      <c r="BE36" s="4"/>
      <c r="BK36" s="19"/>
      <c r="BL36" s="19"/>
      <c r="CJ36" s="22"/>
    </row>
    <row r="37" s="1" customFormat="true" ht="13.8" hidden="false" customHeight="false" outlineLevel="0" collapsed="false">
      <c r="O37" s="31"/>
      <c r="P37" s="31"/>
      <c r="Q37" s="31"/>
      <c r="R37" s="31"/>
      <c r="S37" s="31"/>
      <c r="T37" s="32"/>
      <c r="U37" s="31"/>
      <c r="V37" s="31"/>
      <c r="X37" s="31"/>
      <c r="AA37" s="4"/>
      <c r="AJ37" s="31"/>
      <c r="AP37" s="31"/>
      <c r="AQ37" s="31"/>
      <c r="BE37" s="4"/>
      <c r="BK37" s="19"/>
      <c r="BL37" s="19"/>
      <c r="CJ37" s="22"/>
    </row>
    <row r="38" s="1" customFormat="true" ht="13.8" hidden="false" customHeight="false" outlineLevel="0" collapsed="false">
      <c r="O38" s="31"/>
      <c r="P38" s="31"/>
      <c r="Q38" s="31"/>
      <c r="R38" s="31"/>
      <c r="S38" s="31"/>
      <c r="T38" s="31"/>
      <c r="U38" s="31"/>
      <c r="V38" s="31"/>
      <c r="X38" s="31"/>
      <c r="AA38" s="4"/>
      <c r="AJ38" s="31"/>
      <c r="AP38" s="31"/>
      <c r="AQ38" s="31"/>
      <c r="BE38" s="4"/>
      <c r="BK38" s="19"/>
      <c r="BL38" s="19"/>
      <c r="CJ38" s="22"/>
    </row>
    <row r="39" s="1" customFormat="true" ht="13.8" hidden="false" customHeight="false" outlineLevel="0" collapsed="false">
      <c r="O39" s="31"/>
      <c r="P39" s="31"/>
      <c r="Q39" s="31"/>
      <c r="R39" s="31"/>
      <c r="S39" s="31"/>
      <c r="T39" s="32"/>
      <c r="U39" s="31"/>
      <c r="V39" s="31"/>
      <c r="X39" s="31"/>
      <c r="AA39" s="4"/>
      <c r="AJ39" s="31"/>
      <c r="AP39" s="31"/>
      <c r="AQ39" s="31"/>
      <c r="BE39" s="4"/>
      <c r="BK39" s="19"/>
      <c r="BL39" s="19"/>
      <c r="CJ39" s="22"/>
    </row>
    <row r="40" s="1" customFormat="true" ht="13.8" hidden="false" customHeight="false" outlineLevel="0" collapsed="false">
      <c r="O40" s="31"/>
      <c r="P40" s="31"/>
      <c r="Q40" s="31"/>
      <c r="R40" s="31"/>
      <c r="S40" s="31"/>
      <c r="T40" s="32"/>
      <c r="U40" s="31"/>
      <c r="V40" s="31"/>
      <c r="X40" s="31"/>
      <c r="AA40" s="4"/>
      <c r="AJ40" s="31"/>
      <c r="AP40" s="31"/>
      <c r="AQ40" s="31"/>
      <c r="BE40" s="4"/>
      <c r="BK40" s="19"/>
      <c r="BL40" s="19"/>
      <c r="CJ40" s="22"/>
    </row>
    <row r="41" s="1" customFormat="true" ht="13.8" hidden="false" customHeight="false" outlineLevel="0" collapsed="false">
      <c r="O41" s="31"/>
      <c r="P41" s="31"/>
      <c r="Q41" s="31"/>
      <c r="R41" s="31"/>
      <c r="S41" s="31"/>
      <c r="T41" s="32"/>
      <c r="U41" s="31"/>
      <c r="V41" s="31"/>
      <c r="X41" s="31"/>
      <c r="AA41" s="4"/>
      <c r="AJ41" s="31"/>
      <c r="AP41" s="31"/>
      <c r="AQ41" s="31"/>
      <c r="BE41" s="4"/>
      <c r="BK41" s="19"/>
      <c r="BL41" s="19"/>
      <c r="CJ41" s="22"/>
    </row>
    <row r="42" s="1" customFormat="true" ht="13.8" hidden="false" customHeight="false" outlineLevel="0" collapsed="false">
      <c r="O42" s="31"/>
      <c r="P42" s="31"/>
      <c r="Q42" s="31"/>
      <c r="R42" s="31"/>
      <c r="S42" s="31"/>
      <c r="T42" s="32"/>
      <c r="U42" s="31"/>
      <c r="V42" s="31"/>
      <c r="X42" s="31"/>
      <c r="AA42" s="4"/>
      <c r="AJ42" s="31"/>
      <c r="AP42" s="31"/>
      <c r="AQ42" s="31"/>
      <c r="BE42" s="4"/>
      <c r="BK42" s="19"/>
      <c r="BL42" s="19"/>
      <c r="CJ42" s="22"/>
    </row>
    <row r="43" s="1" customFormat="true" ht="13.8" hidden="false" customHeight="false" outlineLevel="0" collapsed="false">
      <c r="O43" s="31"/>
      <c r="P43" s="31"/>
      <c r="Q43" s="31"/>
      <c r="R43" s="31"/>
      <c r="S43" s="31"/>
      <c r="T43" s="32"/>
      <c r="U43" s="31"/>
      <c r="V43" s="31"/>
      <c r="X43" s="31"/>
      <c r="AA43" s="4"/>
      <c r="AJ43" s="31"/>
      <c r="AP43" s="31"/>
      <c r="AQ43" s="31"/>
      <c r="BE43" s="4"/>
      <c r="BK43" s="19"/>
      <c r="BL43" s="19"/>
      <c r="CJ43" s="22"/>
    </row>
    <row r="44" s="1" customFormat="true" ht="13.8" hidden="false" customHeight="false" outlineLevel="0" collapsed="false">
      <c r="O44" s="31"/>
      <c r="P44" s="31"/>
      <c r="Q44" s="31"/>
      <c r="R44" s="31"/>
      <c r="S44" s="31"/>
      <c r="T44" s="32"/>
      <c r="U44" s="31"/>
      <c r="V44" s="31"/>
      <c r="X44" s="31"/>
      <c r="AA44" s="4"/>
      <c r="AJ44" s="31"/>
      <c r="AP44" s="31"/>
      <c r="AQ44" s="31"/>
      <c r="BE44" s="4"/>
      <c r="BK44" s="19"/>
      <c r="BL44" s="19"/>
      <c r="CJ44" s="22"/>
    </row>
    <row r="45" s="1" customFormat="true" ht="13.8" hidden="false" customHeight="false" outlineLevel="0" collapsed="false">
      <c r="O45" s="31"/>
      <c r="P45" s="31"/>
      <c r="Q45" s="31"/>
      <c r="R45" s="31"/>
      <c r="S45" s="31"/>
      <c r="T45" s="32"/>
      <c r="U45" s="31"/>
      <c r="V45" s="31"/>
      <c r="X45" s="31"/>
      <c r="AA45" s="4"/>
      <c r="AJ45" s="31"/>
      <c r="AP45" s="31"/>
      <c r="AQ45" s="31"/>
      <c r="BE45" s="4"/>
      <c r="BK45" s="19"/>
      <c r="BL45" s="19"/>
      <c r="CJ45" s="22"/>
    </row>
    <row r="46" s="1" customFormat="true" ht="13.8" hidden="false" customHeight="false" outlineLevel="0" collapsed="false">
      <c r="O46" s="31"/>
      <c r="P46" s="31"/>
      <c r="Q46" s="31"/>
      <c r="R46" s="31"/>
      <c r="S46" s="31"/>
      <c r="T46" s="32"/>
      <c r="U46" s="31"/>
      <c r="V46" s="31"/>
      <c r="X46" s="31"/>
      <c r="AA46" s="4"/>
      <c r="AJ46" s="31"/>
      <c r="AP46" s="31"/>
      <c r="AQ46" s="31"/>
      <c r="BE46" s="4"/>
      <c r="BK46" s="19"/>
      <c r="BL46" s="19"/>
      <c r="CJ46" s="22"/>
    </row>
    <row r="47" s="1" customFormat="true" ht="13.8" hidden="false" customHeight="false" outlineLevel="0" collapsed="false">
      <c r="O47" s="31"/>
      <c r="P47" s="31"/>
      <c r="Q47" s="31"/>
      <c r="R47" s="31"/>
      <c r="S47" s="31"/>
      <c r="T47" s="31"/>
      <c r="U47" s="31"/>
      <c r="V47" s="31"/>
      <c r="X47" s="31"/>
      <c r="AA47" s="4"/>
      <c r="AJ47" s="31"/>
      <c r="AP47" s="31"/>
      <c r="AQ47" s="31"/>
      <c r="BE47" s="4"/>
      <c r="BK47" s="19"/>
      <c r="BL47" s="19"/>
      <c r="CJ47" s="22"/>
    </row>
    <row r="48" s="1" customFormat="true" ht="13.8" hidden="false" customHeight="false" outlineLevel="0" collapsed="false">
      <c r="O48" s="31"/>
      <c r="P48" s="31"/>
      <c r="Q48" s="31"/>
      <c r="R48" s="31"/>
      <c r="S48" s="31"/>
      <c r="T48" s="32"/>
      <c r="U48" s="31"/>
      <c r="V48" s="31"/>
      <c r="X48" s="31"/>
      <c r="AA48" s="4"/>
      <c r="AJ48" s="31"/>
      <c r="AP48" s="31"/>
      <c r="AQ48" s="31"/>
      <c r="BE48" s="4"/>
      <c r="BK48" s="19"/>
      <c r="BL48" s="19"/>
      <c r="CJ48" s="22"/>
    </row>
    <row r="49" s="1" customFormat="true" ht="13.8" hidden="false" customHeight="false" outlineLevel="0" collapsed="false">
      <c r="O49" s="31"/>
      <c r="P49" s="31"/>
      <c r="Q49" s="31"/>
      <c r="R49" s="31"/>
      <c r="S49" s="31"/>
      <c r="T49" s="31"/>
      <c r="U49" s="31"/>
      <c r="V49" s="31"/>
      <c r="X49" s="31"/>
      <c r="AA49" s="4"/>
      <c r="AJ49" s="31"/>
      <c r="AP49" s="31"/>
      <c r="AQ49" s="31"/>
      <c r="BE49" s="4"/>
      <c r="BK49" s="19"/>
      <c r="BL49" s="19"/>
      <c r="CJ49" s="22"/>
    </row>
    <row r="50" s="1" customFormat="true" ht="13.8" hidden="false" customHeight="false" outlineLevel="0" collapsed="false">
      <c r="O50" s="31"/>
      <c r="P50" s="31"/>
      <c r="Q50" s="31"/>
      <c r="R50" s="31"/>
      <c r="S50" s="31"/>
      <c r="T50" s="31"/>
      <c r="U50" s="31"/>
      <c r="V50" s="31"/>
      <c r="X50" s="31"/>
      <c r="AA50" s="4"/>
      <c r="AJ50" s="31"/>
      <c r="AP50" s="31"/>
      <c r="AQ50" s="31"/>
      <c r="BE50" s="4"/>
      <c r="BK50" s="19"/>
      <c r="BL50" s="19"/>
      <c r="CJ50" s="22"/>
    </row>
    <row r="51" s="1" customFormat="true" ht="13.8" hidden="false" customHeight="false" outlineLevel="0" collapsed="false">
      <c r="O51" s="31"/>
      <c r="P51" s="31"/>
      <c r="Q51" s="31"/>
      <c r="R51" s="31"/>
      <c r="S51" s="31"/>
      <c r="T51" s="31"/>
      <c r="U51" s="31"/>
      <c r="V51" s="31"/>
      <c r="X51" s="31"/>
      <c r="AA51" s="4"/>
      <c r="AJ51" s="31"/>
      <c r="AP51" s="31"/>
      <c r="AQ51" s="31"/>
      <c r="BE51" s="4"/>
      <c r="BK51" s="19"/>
      <c r="BL51" s="19"/>
      <c r="CJ51" s="22"/>
    </row>
    <row r="52" s="1" customFormat="true" ht="13.8" hidden="false" customHeight="false" outlineLevel="0" collapsed="false">
      <c r="O52" s="31"/>
      <c r="P52" s="31"/>
      <c r="Q52" s="31"/>
      <c r="R52" s="31"/>
      <c r="S52" s="31"/>
      <c r="T52" s="31"/>
      <c r="U52" s="31"/>
      <c r="V52" s="31"/>
      <c r="X52" s="31"/>
      <c r="AA52" s="4"/>
      <c r="AJ52" s="31"/>
      <c r="AP52" s="31"/>
      <c r="AQ52" s="31"/>
      <c r="BE52" s="4"/>
      <c r="BK52" s="19"/>
      <c r="BL52" s="19"/>
      <c r="CJ52" s="22"/>
    </row>
    <row r="53" s="1" customFormat="true" ht="13.8" hidden="false" customHeight="false" outlineLevel="0" collapsed="false">
      <c r="O53" s="31"/>
      <c r="P53" s="31"/>
      <c r="Q53" s="31"/>
      <c r="R53" s="31"/>
      <c r="S53" s="31"/>
      <c r="T53" s="31"/>
      <c r="U53" s="31"/>
      <c r="V53" s="31"/>
      <c r="X53" s="31"/>
      <c r="AA53" s="4"/>
      <c r="AJ53" s="31"/>
      <c r="AP53" s="31"/>
      <c r="AQ53" s="31"/>
      <c r="BE53" s="4"/>
      <c r="BK53" s="19"/>
      <c r="BL53" s="19"/>
      <c r="CJ53" s="22"/>
    </row>
    <row r="54" s="1" customFormat="true" ht="13.8" hidden="false" customHeight="false" outlineLevel="0" collapsed="false">
      <c r="O54" s="31"/>
      <c r="P54" s="31"/>
      <c r="Q54" s="31"/>
      <c r="R54" s="31"/>
      <c r="S54" s="31"/>
      <c r="T54" s="31"/>
      <c r="U54" s="31"/>
      <c r="V54" s="31"/>
      <c r="X54" s="31"/>
      <c r="AA54" s="4"/>
      <c r="AJ54" s="31"/>
      <c r="AP54" s="31"/>
      <c r="AQ54" s="31"/>
      <c r="BE54" s="4"/>
      <c r="BK54" s="19"/>
      <c r="BL54" s="19"/>
      <c r="CJ54" s="22"/>
    </row>
    <row r="55" s="1" customFormat="true" ht="13.8" hidden="false" customHeight="false" outlineLevel="0" collapsed="false">
      <c r="O55" s="31"/>
      <c r="P55" s="31"/>
      <c r="Q55" s="31"/>
      <c r="R55" s="31"/>
      <c r="S55" s="31"/>
      <c r="T55" s="31"/>
      <c r="U55" s="31"/>
      <c r="V55" s="31"/>
      <c r="X55" s="31"/>
      <c r="AA55" s="4"/>
      <c r="AJ55" s="31"/>
      <c r="AP55" s="31"/>
      <c r="AQ55" s="31"/>
      <c r="BE55" s="4"/>
      <c r="BK55" s="19"/>
      <c r="BL55" s="19"/>
      <c r="CJ55" s="22"/>
    </row>
    <row r="56" s="1" customFormat="true" ht="13.8" hidden="false" customHeight="false" outlineLevel="0" collapsed="false">
      <c r="O56" s="31"/>
      <c r="P56" s="31"/>
      <c r="Q56" s="31"/>
      <c r="R56" s="31"/>
      <c r="S56" s="31"/>
      <c r="T56" s="31"/>
      <c r="U56" s="31"/>
      <c r="V56" s="31"/>
      <c r="X56" s="31"/>
      <c r="AA56" s="4"/>
      <c r="AJ56" s="31"/>
      <c r="AP56" s="31"/>
      <c r="AQ56" s="31"/>
      <c r="BE56" s="4"/>
      <c r="BK56" s="19"/>
      <c r="BL56" s="19"/>
      <c r="CJ56" s="22"/>
    </row>
    <row r="57" s="1" customFormat="true" ht="13.8" hidden="false" customHeight="false" outlineLevel="0" collapsed="false">
      <c r="O57" s="31"/>
      <c r="P57" s="31"/>
      <c r="Q57" s="31"/>
      <c r="R57" s="31"/>
      <c r="S57" s="31"/>
      <c r="T57" s="31"/>
      <c r="U57" s="31"/>
      <c r="V57" s="31"/>
      <c r="X57" s="31"/>
      <c r="AA57" s="4"/>
      <c r="AJ57" s="31"/>
      <c r="AP57" s="31"/>
      <c r="AQ57" s="31"/>
      <c r="BE57" s="4"/>
      <c r="BK57" s="19"/>
      <c r="BL57" s="19"/>
      <c r="CJ57" s="22"/>
    </row>
    <row r="58" s="1" customFormat="true" ht="12.75" hidden="false" customHeight="true" outlineLevel="0" collapsed="false">
      <c r="O58" s="31"/>
      <c r="P58" s="31"/>
      <c r="Q58" s="31"/>
      <c r="R58" s="31"/>
      <c r="S58" s="31"/>
      <c r="T58" s="31"/>
      <c r="U58" s="31"/>
      <c r="V58" s="31"/>
      <c r="X58" s="31"/>
      <c r="AA58" s="4"/>
      <c r="AJ58" s="31"/>
      <c r="AP58" s="31"/>
      <c r="AQ58" s="31"/>
      <c r="BE58" s="4"/>
      <c r="BK58" s="19"/>
      <c r="BL58" s="19"/>
      <c r="CJ58" s="22"/>
    </row>
    <row r="59" s="1" customFormat="true" ht="13.8" hidden="false" customHeight="false" outlineLevel="0" collapsed="false">
      <c r="O59" s="31"/>
      <c r="P59" s="31"/>
      <c r="Q59" s="31"/>
      <c r="R59" s="31"/>
      <c r="S59" s="31"/>
      <c r="T59" s="31"/>
      <c r="U59" s="31"/>
      <c r="V59" s="31"/>
      <c r="X59" s="31"/>
      <c r="AA59" s="4"/>
      <c r="AJ59" s="31"/>
      <c r="AP59" s="31"/>
      <c r="AQ59" s="31"/>
      <c r="BE59" s="4"/>
      <c r="BK59" s="19"/>
      <c r="BL59" s="19"/>
      <c r="CJ59" s="22"/>
    </row>
    <row r="60" s="1" customFormat="true" ht="13.8" hidden="false" customHeight="false" outlineLevel="0" collapsed="false">
      <c r="O60" s="31"/>
      <c r="P60" s="31"/>
      <c r="Q60" s="31"/>
      <c r="R60" s="31"/>
      <c r="S60" s="31"/>
      <c r="T60" s="31"/>
      <c r="U60" s="31"/>
      <c r="V60" s="31"/>
      <c r="X60" s="31"/>
      <c r="AA60" s="4"/>
      <c r="AJ60" s="31"/>
      <c r="AP60" s="31"/>
      <c r="AQ60" s="31"/>
      <c r="BE60" s="4"/>
      <c r="BK60" s="19"/>
      <c r="BL60" s="19"/>
      <c r="CJ60" s="22"/>
    </row>
    <row r="61" s="1" customFormat="true" ht="13.8" hidden="false" customHeight="false" outlineLevel="0" collapsed="false">
      <c r="O61" s="31"/>
      <c r="P61" s="31"/>
      <c r="Q61" s="31"/>
      <c r="R61" s="31"/>
      <c r="S61" s="31"/>
      <c r="T61" s="31"/>
      <c r="U61" s="31"/>
      <c r="V61" s="31"/>
      <c r="X61" s="31"/>
      <c r="AA61" s="4"/>
      <c r="AJ61" s="31"/>
      <c r="AP61" s="31"/>
      <c r="AQ61" s="31"/>
      <c r="BE61" s="4"/>
      <c r="BK61" s="19"/>
      <c r="BL61" s="19"/>
      <c r="CJ61" s="22"/>
    </row>
    <row r="62" s="1" customFormat="true" ht="13.8" hidden="false" customHeight="false" outlineLevel="0" collapsed="false">
      <c r="O62" s="31"/>
      <c r="P62" s="31"/>
      <c r="Q62" s="31"/>
      <c r="R62" s="31"/>
      <c r="S62" s="31"/>
      <c r="T62" s="31"/>
      <c r="U62" s="31"/>
      <c r="V62" s="31"/>
      <c r="X62" s="31"/>
      <c r="AA62" s="4"/>
      <c r="AJ62" s="31"/>
      <c r="AP62" s="31"/>
      <c r="AQ62" s="31"/>
      <c r="BE62" s="4"/>
      <c r="BK62" s="19"/>
      <c r="BL62" s="19"/>
      <c r="CJ62" s="22"/>
    </row>
    <row r="63" s="1" customFormat="true" ht="13.8" hidden="false" customHeight="false" outlineLevel="0" collapsed="false">
      <c r="O63" s="31"/>
      <c r="P63" s="31"/>
      <c r="Q63" s="31"/>
      <c r="R63" s="31"/>
      <c r="S63" s="31"/>
      <c r="T63" s="31"/>
      <c r="U63" s="31"/>
      <c r="V63" s="31"/>
      <c r="X63" s="31"/>
      <c r="AA63" s="4"/>
      <c r="AJ63" s="31"/>
      <c r="AP63" s="31"/>
      <c r="AQ63" s="31"/>
      <c r="BE63" s="4"/>
      <c r="BK63" s="19"/>
      <c r="BL63" s="19"/>
      <c r="CJ63" s="22"/>
    </row>
    <row r="64" s="1" customFormat="true" ht="13.8" hidden="false" customHeight="false" outlineLevel="0" collapsed="false">
      <c r="O64" s="31"/>
      <c r="P64" s="31"/>
      <c r="Q64" s="31"/>
      <c r="R64" s="31"/>
      <c r="S64" s="31"/>
      <c r="T64" s="31"/>
      <c r="U64" s="31"/>
      <c r="V64" s="31"/>
      <c r="X64" s="31"/>
      <c r="AA64" s="4"/>
      <c r="AJ64" s="31"/>
      <c r="AP64" s="31"/>
      <c r="AQ64" s="31"/>
      <c r="BE64" s="4"/>
      <c r="BK64" s="19"/>
      <c r="BL64" s="19"/>
      <c r="CJ64" s="22"/>
    </row>
    <row r="65" s="1" customFormat="true" ht="13.8" hidden="false" customHeight="false" outlineLevel="0" collapsed="false">
      <c r="O65" s="31"/>
      <c r="P65" s="31"/>
      <c r="Q65" s="31"/>
      <c r="R65" s="31"/>
      <c r="S65" s="31"/>
      <c r="T65" s="31"/>
      <c r="U65" s="31"/>
      <c r="V65" s="31"/>
      <c r="X65" s="31"/>
      <c r="AA65" s="4"/>
      <c r="AJ65" s="31"/>
      <c r="AP65" s="31"/>
      <c r="AQ65" s="31"/>
      <c r="BE65" s="4"/>
      <c r="BK65" s="19"/>
      <c r="BL65" s="19"/>
      <c r="CJ65" s="22"/>
    </row>
    <row r="66" s="1" customFormat="true" ht="13.8" hidden="false" customHeight="false" outlineLevel="0" collapsed="false">
      <c r="O66" s="31"/>
      <c r="P66" s="31"/>
      <c r="Q66" s="31"/>
      <c r="R66" s="31"/>
      <c r="S66" s="31"/>
      <c r="T66" s="31"/>
      <c r="U66" s="31"/>
      <c r="V66" s="31"/>
      <c r="X66" s="31"/>
      <c r="AA66" s="4"/>
      <c r="AJ66" s="31"/>
      <c r="AP66" s="31"/>
      <c r="AQ66" s="31"/>
      <c r="BE66" s="4"/>
      <c r="BK66" s="19"/>
      <c r="BL66" s="19"/>
      <c r="CJ66" s="22"/>
    </row>
    <row r="67" s="1" customFormat="true" ht="13.8" hidden="false" customHeight="false" outlineLevel="0" collapsed="false">
      <c r="O67" s="31"/>
      <c r="P67" s="31"/>
      <c r="Q67" s="31"/>
      <c r="R67" s="31"/>
      <c r="S67" s="31"/>
      <c r="T67" s="32"/>
      <c r="U67" s="31"/>
      <c r="V67" s="31"/>
      <c r="X67" s="31"/>
      <c r="AA67" s="4"/>
      <c r="AJ67" s="31"/>
      <c r="AP67" s="31"/>
      <c r="AQ67" s="31"/>
      <c r="BE67" s="4"/>
      <c r="BK67" s="19"/>
      <c r="BL67" s="19"/>
      <c r="CJ67" s="22"/>
    </row>
    <row r="68" s="1" customFormat="true" ht="13.8" hidden="false" customHeight="false" outlineLevel="0" collapsed="false">
      <c r="O68" s="31"/>
      <c r="P68" s="31"/>
      <c r="Q68" s="31"/>
      <c r="R68" s="31"/>
      <c r="S68" s="31"/>
      <c r="T68" s="32"/>
      <c r="U68" s="31"/>
      <c r="V68" s="31"/>
      <c r="X68" s="31"/>
      <c r="AA68" s="4"/>
      <c r="AJ68" s="31"/>
      <c r="AP68" s="31"/>
      <c r="AQ68" s="31"/>
      <c r="BE68" s="4"/>
      <c r="BK68" s="19"/>
      <c r="BL68" s="19"/>
      <c r="CJ68" s="22"/>
    </row>
    <row r="69" s="1" customFormat="true" ht="13.8" hidden="false" customHeight="false" outlineLevel="0" collapsed="false">
      <c r="O69" s="31"/>
      <c r="P69" s="31"/>
      <c r="Q69" s="31"/>
      <c r="R69" s="31"/>
      <c r="S69" s="31"/>
      <c r="T69" s="32"/>
      <c r="U69" s="31"/>
      <c r="V69" s="31"/>
      <c r="X69" s="31"/>
      <c r="AA69" s="4"/>
      <c r="AJ69" s="31"/>
      <c r="AP69" s="31"/>
      <c r="AQ69" s="31"/>
      <c r="BE69" s="4"/>
      <c r="BK69" s="19"/>
      <c r="BL69" s="19"/>
      <c r="CJ69" s="22"/>
    </row>
    <row r="70" s="1" customFormat="true" ht="13.8" hidden="false" customHeight="false" outlineLevel="0" collapsed="false">
      <c r="O70" s="31"/>
      <c r="P70" s="31"/>
      <c r="Q70" s="31"/>
      <c r="R70" s="31"/>
      <c r="S70" s="31"/>
      <c r="T70" s="32"/>
      <c r="U70" s="31"/>
      <c r="V70" s="31"/>
      <c r="X70" s="31"/>
      <c r="AA70" s="4"/>
      <c r="AJ70" s="31"/>
      <c r="AP70" s="31"/>
      <c r="AQ70" s="31"/>
      <c r="BE70" s="4"/>
      <c r="BK70" s="19"/>
      <c r="BL70" s="19"/>
      <c r="CJ70" s="22"/>
    </row>
    <row r="71" s="1" customFormat="true" ht="13.8" hidden="false" customHeight="false" outlineLevel="0" collapsed="false">
      <c r="O71" s="31"/>
      <c r="P71" s="31"/>
      <c r="Q71" s="31"/>
      <c r="R71" s="31"/>
      <c r="S71" s="31"/>
      <c r="T71" s="32"/>
      <c r="U71" s="31"/>
      <c r="V71" s="31"/>
      <c r="X71" s="31"/>
      <c r="AA71" s="4"/>
      <c r="AJ71" s="31"/>
      <c r="AP71" s="31"/>
      <c r="AQ71" s="31"/>
      <c r="BE71" s="4"/>
      <c r="BK71" s="19"/>
      <c r="BL71" s="19"/>
      <c r="CJ71" s="22"/>
    </row>
    <row r="72" s="1" customFormat="true" ht="13.8" hidden="false" customHeight="false" outlineLevel="0" collapsed="false">
      <c r="O72" s="31"/>
      <c r="P72" s="31"/>
      <c r="Q72" s="31"/>
      <c r="R72" s="31"/>
      <c r="S72" s="31"/>
      <c r="T72" s="32"/>
      <c r="U72" s="31"/>
      <c r="V72" s="31"/>
      <c r="X72" s="31"/>
      <c r="AA72" s="4"/>
      <c r="AJ72" s="31"/>
      <c r="AP72" s="31"/>
      <c r="AQ72" s="31"/>
      <c r="BE72" s="4"/>
      <c r="BK72" s="19"/>
      <c r="BL72" s="19"/>
      <c r="CJ72" s="22"/>
    </row>
    <row r="73" s="1" customFormat="true" ht="13.8" hidden="false" customHeight="false" outlineLevel="0" collapsed="false">
      <c r="O73" s="31"/>
      <c r="P73" s="31"/>
      <c r="Q73" s="31"/>
      <c r="R73" s="31"/>
      <c r="S73" s="31"/>
      <c r="T73" s="32"/>
      <c r="U73" s="31"/>
      <c r="V73" s="31"/>
      <c r="X73" s="31"/>
      <c r="AA73" s="4"/>
      <c r="AJ73" s="31"/>
      <c r="AP73" s="31"/>
      <c r="AQ73" s="31"/>
      <c r="BE73" s="4"/>
      <c r="BK73" s="19"/>
      <c r="BL73" s="19"/>
      <c r="CJ73" s="22"/>
    </row>
    <row r="74" s="1" customFormat="true" ht="13.8" hidden="false" customHeight="false" outlineLevel="0" collapsed="false">
      <c r="O74" s="31"/>
      <c r="P74" s="31"/>
      <c r="Q74" s="31"/>
      <c r="R74" s="31"/>
      <c r="S74" s="31"/>
      <c r="T74" s="32"/>
      <c r="U74" s="31"/>
      <c r="V74" s="31"/>
      <c r="X74" s="31"/>
      <c r="AA74" s="4"/>
      <c r="AJ74" s="31"/>
      <c r="AP74" s="31"/>
      <c r="AQ74" s="31"/>
      <c r="BE74" s="4"/>
      <c r="BK74" s="19"/>
      <c r="BL74" s="19"/>
      <c r="CJ74" s="22"/>
    </row>
    <row r="75" s="1" customFormat="true" ht="13.8" hidden="false" customHeight="false" outlineLevel="0" collapsed="false">
      <c r="O75" s="31"/>
      <c r="P75" s="31"/>
      <c r="Q75" s="31"/>
      <c r="R75" s="31"/>
      <c r="S75" s="31"/>
      <c r="T75" s="32"/>
      <c r="U75" s="31"/>
      <c r="V75" s="31"/>
      <c r="X75" s="31"/>
      <c r="AA75" s="4"/>
      <c r="AJ75" s="31"/>
      <c r="AP75" s="31"/>
      <c r="AQ75" s="31"/>
      <c r="BE75" s="4"/>
      <c r="BK75" s="19"/>
      <c r="BL75" s="19"/>
      <c r="CJ75" s="22"/>
    </row>
    <row r="76" s="1" customFormat="true" ht="13.8" hidden="false" customHeight="false" outlineLevel="0" collapsed="false">
      <c r="O76" s="31"/>
      <c r="P76" s="31"/>
      <c r="Q76" s="31"/>
      <c r="R76" s="31"/>
      <c r="S76" s="31"/>
      <c r="T76" s="32"/>
      <c r="U76" s="31"/>
      <c r="V76" s="31"/>
      <c r="X76" s="31"/>
      <c r="AA76" s="4"/>
      <c r="AJ76" s="31"/>
      <c r="AP76" s="31"/>
      <c r="AQ76" s="31"/>
      <c r="BE76" s="4"/>
      <c r="BK76" s="19"/>
      <c r="BL76" s="19"/>
      <c r="CJ76" s="22"/>
    </row>
    <row r="77" s="1" customFormat="true" ht="13.8" hidden="false" customHeight="false" outlineLevel="0" collapsed="false">
      <c r="O77" s="31"/>
      <c r="P77" s="31"/>
      <c r="Q77" s="31"/>
      <c r="R77" s="31"/>
      <c r="S77" s="31"/>
      <c r="T77" s="32"/>
      <c r="U77" s="31"/>
      <c r="V77" s="31"/>
      <c r="X77" s="31"/>
      <c r="AA77" s="4"/>
      <c r="AJ77" s="31"/>
      <c r="AP77" s="31"/>
      <c r="AQ77" s="31"/>
      <c r="BE77" s="4"/>
      <c r="BK77" s="19"/>
      <c r="BL77" s="19"/>
      <c r="CJ77" s="22"/>
    </row>
    <row r="78" s="1" customFormat="true" ht="13.8" hidden="false" customHeight="false" outlineLevel="0" collapsed="false">
      <c r="O78" s="31"/>
      <c r="P78" s="31"/>
      <c r="Q78" s="31"/>
      <c r="R78" s="31"/>
      <c r="S78" s="31"/>
      <c r="T78" s="32"/>
      <c r="U78" s="31"/>
      <c r="V78" s="31"/>
      <c r="X78" s="31"/>
      <c r="AA78" s="4"/>
      <c r="AJ78" s="31"/>
      <c r="AP78" s="31"/>
      <c r="AQ78" s="31"/>
      <c r="BE78" s="4"/>
      <c r="BK78" s="19"/>
      <c r="BL78" s="19"/>
      <c r="CJ78" s="22"/>
    </row>
    <row r="79" s="1" customFormat="true" ht="13.8" hidden="false" customHeight="false" outlineLevel="0" collapsed="false">
      <c r="O79" s="31"/>
      <c r="P79" s="31"/>
      <c r="Q79" s="31"/>
      <c r="R79" s="31"/>
      <c r="S79" s="31"/>
      <c r="T79" s="32"/>
      <c r="U79" s="31"/>
      <c r="V79" s="31"/>
      <c r="X79" s="31"/>
      <c r="AA79" s="4"/>
      <c r="AJ79" s="31"/>
      <c r="AP79" s="31"/>
      <c r="AQ79" s="31"/>
      <c r="BE79" s="4"/>
      <c r="BK79" s="19"/>
      <c r="BL79" s="19"/>
      <c r="CJ79" s="22"/>
    </row>
    <row r="80" s="1" customFormat="true" ht="13.8" hidden="false" customHeight="false" outlineLevel="0" collapsed="false">
      <c r="O80" s="31"/>
      <c r="P80" s="31"/>
      <c r="Q80" s="31"/>
      <c r="R80" s="31"/>
      <c r="S80" s="31"/>
      <c r="T80" s="32"/>
      <c r="U80" s="31"/>
      <c r="V80" s="31"/>
      <c r="X80" s="31"/>
      <c r="AA80" s="4"/>
      <c r="AJ80" s="31"/>
      <c r="AP80" s="31"/>
      <c r="AQ80" s="31"/>
      <c r="BE80" s="4"/>
      <c r="BK80" s="19"/>
      <c r="BL80" s="19"/>
      <c r="CJ80" s="22"/>
    </row>
    <row r="81" s="1" customFormat="true" ht="13.8" hidden="false" customHeight="false" outlineLevel="0" collapsed="false">
      <c r="O81" s="31"/>
      <c r="P81" s="31"/>
      <c r="Q81" s="31"/>
      <c r="R81" s="31"/>
      <c r="S81" s="31"/>
      <c r="T81" s="32"/>
      <c r="U81" s="31"/>
      <c r="V81" s="31"/>
      <c r="X81" s="31"/>
      <c r="AA81" s="4"/>
      <c r="AJ81" s="31"/>
      <c r="AP81" s="31"/>
      <c r="AQ81" s="31"/>
      <c r="BE81" s="4"/>
      <c r="BK81" s="19"/>
      <c r="BL81" s="19"/>
      <c r="CJ81" s="22"/>
    </row>
    <row r="82" s="1" customFormat="true" ht="13.8" hidden="false" customHeight="false" outlineLevel="0" collapsed="false">
      <c r="O82" s="31"/>
      <c r="P82" s="31"/>
      <c r="Q82" s="31"/>
      <c r="R82" s="31"/>
      <c r="S82" s="31"/>
      <c r="T82" s="31"/>
      <c r="U82" s="31"/>
      <c r="V82" s="31"/>
      <c r="X82" s="31"/>
      <c r="AA82" s="4"/>
      <c r="AJ82" s="31"/>
      <c r="AP82" s="31"/>
      <c r="AQ82" s="31"/>
      <c r="BE82" s="4"/>
      <c r="BK82" s="19"/>
      <c r="BL82" s="19"/>
      <c r="CJ82" s="22"/>
    </row>
    <row r="83" s="1" customFormat="true" ht="13.8" hidden="false" customHeight="false" outlineLevel="0" collapsed="false">
      <c r="O83" s="31"/>
      <c r="P83" s="31"/>
      <c r="Q83" s="31"/>
      <c r="R83" s="31"/>
      <c r="S83" s="31"/>
      <c r="T83" s="31"/>
      <c r="U83" s="31"/>
      <c r="V83" s="31"/>
      <c r="X83" s="31"/>
      <c r="AA83" s="4"/>
      <c r="AJ83" s="31"/>
      <c r="AP83" s="31"/>
      <c r="AQ83" s="31"/>
      <c r="BE83" s="4"/>
      <c r="BK83" s="19"/>
      <c r="BL83" s="19"/>
      <c r="CJ83" s="22"/>
    </row>
    <row r="84" s="1" customFormat="true" ht="13.8" hidden="false" customHeight="false" outlineLevel="0" collapsed="false">
      <c r="O84" s="31"/>
      <c r="P84" s="31"/>
      <c r="Q84" s="31"/>
      <c r="R84" s="31"/>
      <c r="S84" s="31"/>
      <c r="T84" s="31"/>
      <c r="U84" s="31"/>
      <c r="V84" s="31"/>
      <c r="X84" s="31"/>
      <c r="AA84" s="4"/>
      <c r="AJ84" s="31"/>
      <c r="AP84" s="31"/>
      <c r="AQ84" s="31"/>
      <c r="BE84" s="4"/>
      <c r="BK84" s="19"/>
      <c r="BL84" s="19"/>
      <c r="CJ84" s="22"/>
    </row>
    <row r="85" s="1" customFormat="true" ht="13.8" hidden="false" customHeight="false" outlineLevel="0" collapsed="false">
      <c r="O85" s="31"/>
      <c r="P85" s="31"/>
      <c r="Q85" s="31"/>
      <c r="R85" s="31"/>
      <c r="S85" s="31"/>
      <c r="T85" s="31"/>
      <c r="U85" s="31"/>
      <c r="V85" s="31"/>
      <c r="X85" s="31"/>
      <c r="AA85" s="4"/>
      <c r="AJ85" s="31"/>
      <c r="AP85" s="31"/>
      <c r="AQ85" s="31"/>
      <c r="BE85" s="4"/>
      <c r="BK85" s="19"/>
      <c r="BL85" s="19"/>
      <c r="CJ85" s="22"/>
    </row>
    <row r="86" s="1" customFormat="true" ht="13.8" hidden="false" customHeight="false" outlineLevel="0" collapsed="false">
      <c r="O86" s="31"/>
      <c r="P86" s="31"/>
      <c r="Q86" s="31"/>
      <c r="R86" s="31"/>
      <c r="S86" s="31"/>
      <c r="T86" s="31"/>
      <c r="U86" s="31"/>
      <c r="V86" s="31"/>
      <c r="X86" s="31"/>
      <c r="AA86" s="4"/>
      <c r="AJ86" s="31"/>
      <c r="AP86" s="31"/>
      <c r="AQ86" s="31"/>
      <c r="BE86" s="4"/>
      <c r="BK86" s="19"/>
      <c r="BL86" s="19"/>
      <c r="CJ86" s="22"/>
    </row>
    <row r="87" s="1" customFormat="true" ht="13.8" hidden="false" customHeight="false" outlineLevel="0" collapsed="false">
      <c r="O87" s="31"/>
      <c r="P87" s="31"/>
      <c r="Q87" s="31"/>
      <c r="R87" s="31"/>
      <c r="S87" s="31"/>
      <c r="T87" s="31"/>
      <c r="U87" s="31"/>
      <c r="V87" s="31"/>
      <c r="X87" s="31"/>
      <c r="AA87" s="4"/>
      <c r="AJ87" s="31"/>
      <c r="AP87" s="31"/>
      <c r="AQ87" s="31"/>
      <c r="BE87" s="4"/>
      <c r="BK87" s="19"/>
      <c r="BL87" s="19"/>
      <c r="CB87" s="10"/>
      <c r="CJ87" s="22"/>
    </row>
    <row r="88" s="1" customFormat="true" ht="13.8" hidden="false" customHeight="false" outlineLevel="0" collapsed="false">
      <c r="O88" s="31"/>
      <c r="P88" s="31"/>
      <c r="Q88" s="31"/>
      <c r="R88" s="31"/>
      <c r="S88" s="31"/>
      <c r="T88" s="31"/>
      <c r="U88" s="31"/>
      <c r="V88" s="31"/>
      <c r="X88" s="31"/>
      <c r="AA88" s="4"/>
      <c r="AJ88" s="31"/>
      <c r="AP88" s="31"/>
      <c r="AQ88" s="31"/>
      <c r="BE88" s="4"/>
      <c r="BK88" s="19"/>
      <c r="BL88" s="19"/>
      <c r="CB88" s="10"/>
      <c r="CJ88" s="22"/>
    </row>
    <row r="89" s="1" customFormat="true" ht="13.8" hidden="false" customHeight="false" outlineLevel="0" collapsed="false">
      <c r="O89" s="31"/>
      <c r="P89" s="31"/>
      <c r="Q89" s="31"/>
      <c r="R89" s="31"/>
      <c r="S89" s="31"/>
      <c r="T89" s="31"/>
      <c r="U89" s="31"/>
      <c r="V89" s="31"/>
      <c r="X89" s="31"/>
      <c r="AA89" s="4"/>
      <c r="AJ89" s="31"/>
      <c r="AP89" s="31"/>
      <c r="AQ89" s="31"/>
      <c r="BE89" s="4"/>
      <c r="BK89" s="19"/>
      <c r="BL89" s="19"/>
      <c r="CB89" s="10"/>
      <c r="CJ89" s="22"/>
    </row>
    <row r="90" s="1" customFormat="true" ht="13.8" hidden="false" customHeight="false" outlineLevel="0" collapsed="false">
      <c r="O90" s="31"/>
      <c r="P90" s="31"/>
      <c r="Q90" s="31"/>
      <c r="R90" s="31"/>
      <c r="S90" s="31"/>
      <c r="T90" s="31"/>
      <c r="U90" s="31"/>
      <c r="V90" s="31"/>
      <c r="X90" s="31"/>
      <c r="AA90" s="4"/>
      <c r="AJ90" s="31"/>
      <c r="AP90" s="31"/>
      <c r="AQ90" s="31"/>
      <c r="BE90" s="4"/>
      <c r="BK90" s="19"/>
      <c r="BL90" s="19"/>
      <c r="CB90" s="10"/>
      <c r="CJ90" s="22"/>
    </row>
    <row r="91" s="1" customFormat="true" ht="13.8" hidden="false" customHeight="false" outlineLevel="0" collapsed="false">
      <c r="O91" s="31"/>
      <c r="P91" s="31"/>
      <c r="Q91" s="31"/>
      <c r="R91" s="31"/>
      <c r="S91" s="31"/>
      <c r="T91" s="31"/>
      <c r="U91" s="31"/>
      <c r="V91" s="31"/>
      <c r="X91" s="31"/>
      <c r="AA91" s="4"/>
      <c r="AJ91" s="31"/>
      <c r="AP91" s="31"/>
      <c r="AQ91" s="31"/>
      <c r="BE91" s="4"/>
      <c r="BK91" s="19"/>
      <c r="BL91" s="19"/>
      <c r="CB91" s="10"/>
      <c r="CJ91" s="22"/>
    </row>
    <row r="92" s="1" customFormat="true" ht="13.8" hidden="false" customHeight="false" outlineLevel="0" collapsed="false">
      <c r="O92" s="31"/>
      <c r="P92" s="31"/>
      <c r="Q92" s="31"/>
      <c r="R92" s="31"/>
      <c r="S92" s="31"/>
      <c r="T92" s="31"/>
      <c r="U92" s="31"/>
      <c r="V92" s="31"/>
      <c r="X92" s="31"/>
      <c r="AA92" s="4"/>
      <c r="AJ92" s="31"/>
      <c r="AP92" s="31"/>
      <c r="AQ92" s="31"/>
      <c r="BE92" s="4"/>
      <c r="BK92" s="19"/>
      <c r="BL92" s="19"/>
      <c r="CB92" s="10"/>
      <c r="CJ92" s="22"/>
    </row>
    <row r="93" s="1" customFormat="true" ht="13.8" hidden="false" customHeight="false" outlineLevel="0" collapsed="false">
      <c r="O93" s="31"/>
      <c r="P93" s="31"/>
      <c r="Q93" s="31"/>
      <c r="R93" s="31"/>
      <c r="S93" s="31"/>
      <c r="T93" s="31"/>
      <c r="U93" s="31"/>
      <c r="V93" s="31"/>
      <c r="X93" s="31"/>
      <c r="AA93" s="4"/>
      <c r="AJ93" s="31"/>
      <c r="AP93" s="31"/>
      <c r="AQ93" s="31"/>
      <c r="BE93" s="4"/>
      <c r="BK93" s="19"/>
      <c r="BL93" s="19"/>
      <c r="CB93" s="10"/>
      <c r="CJ93" s="22"/>
    </row>
    <row r="94" s="1" customFormat="true" ht="13.8" hidden="false" customHeight="false" outlineLevel="0" collapsed="false">
      <c r="O94" s="31"/>
      <c r="P94" s="31"/>
      <c r="Q94" s="31"/>
      <c r="R94" s="31"/>
      <c r="S94" s="31"/>
      <c r="T94" s="31"/>
      <c r="U94" s="31"/>
      <c r="V94" s="31"/>
      <c r="X94" s="31"/>
      <c r="AA94" s="4"/>
      <c r="AJ94" s="31"/>
      <c r="AP94" s="31"/>
      <c r="AQ94" s="31"/>
      <c r="BE94" s="4"/>
      <c r="BK94" s="19"/>
      <c r="BL94" s="19"/>
      <c r="CB94" s="10"/>
      <c r="CJ94" s="22"/>
    </row>
    <row r="95" s="1" customFormat="true" ht="13.8" hidden="false" customHeight="false" outlineLevel="0" collapsed="false">
      <c r="O95" s="31"/>
      <c r="P95" s="31"/>
      <c r="Q95" s="31"/>
      <c r="R95" s="31"/>
      <c r="S95" s="31"/>
      <c r="T95" s="31"/>
      <c r="U95" s="31"/>
      <c r="V95" s="31"/>
      <c r="X95" s="31"/>
      <c r="AA95" s="4"/>
      <c r="AJ95" s="31"/>
      <c r="AP95" s="31"/>
      <c r="AQ95" s="31"/>
      <c r="BE95" s="4"/>
      <c r="BK95" s="19"/>
      <c r="BL95" s="19"/>
      <c r="CB95" s="10"/>
      <c r="CJ95" s="22"/>
    </row>
    <row r="96" s="1" customFormat="true" ht="13.8" hidden="false" customHeight="false" outlineLevel="0" collapsed="false">
      <c r="O96" s="31"/>
      <c r="P96" s="31"/>
      <c r="Q96" s="31"/>
      <c r="R96" s="31"/>
      <c r="S96" s="31"/>
      <c r="T96" s="31"/>
      <c r="U96" s="31"/>
      <c r="V96" s="31"/>
      <c r="X96" s="31"/>
      <c r="AA96" s="4"/>
      <c r="AJ96" s="31"/>
      <c r="AP96" s="31"/>
      <c r="AQ96" s="31"/>
      <c r="BE96" s="4"/>
      <c r="BK96" s="19"/>
      <c r="BL96" s="19"/>
      <c r="CB96" s="10"/>
      <c r="CJ96" s="22"/>
    </row>
    <row r="97" s="1" customFormat="true" ht="13.8" hidden="false" customHeight="false" outlineLevel="0" collapsed="false">
      <c r="O97" s="31"/>
      <c r="P97" s="31"/>
      <c r="Q97" s="31"/>
      <c r="R97" s="31"/>
      <c r="S97" s="31"/>
      <c r="T97" s="31"/>
      <c r="U97" s="31"/>
      <c r="V97" s="31"/>
      <c r="X97" s="31"/>
      <c r="AA97" s="4"/>
      <c r="AJ97" s="31"/>
      <c r="AP97" s="31"/>
      <c r="AQ97" s="31"/>
      <c r="BE97" s="4"/>
      <c r="BK97" s="19"/>
      <c r="BL97" s="19"/>
      <c r="CB97" s="10"/>
      <c r="CJ97" s="22"/>
    </row>
  </sheetData>
  <autoFilter ref="A1:CG22"/>
  <conditionalFormatting sqref="C20">
    <cfRule type="duplicateValues" priority="2" aboveAverage="0" equalAverage="0" bottom="0" percent="0" rank="0" text="" dxfId="8"/>
  </conditionalFormatting>
  <dataValidations count="9">
    <dataValidation allowBlank="true" errorStyle="stop" operator="between" showDropDown="false" showErrorMessage="true" showInputMessage="true" sqref="CA54 CA98:CA1012" type="list">
      <formula1>'Gameplay Planning'!$1:$1</formula1>
      <formula2>0</formula2>
    </dataValidation>
    <dataValidation allowBlank="true" errorStyle="stop" operator="between" showDropDown="false" showErrorMessage="true" showInputMessage="true" sqref="BY1 BY9" type="list">
      <formula1>'Gameplay Planning'!$1:$1</formula1>
      <formula2>0</formula2>
    </dataValidation>
    <dataValidation allowBlank="true" errorStyle="stop" operator="between" showDropDown="false" showErrorMessage="true" showInputMessage="true" sqref="BY10:BY15 BY18:BY19" type="list">
      <formula1>'Gameplay Planning'!$1:$1</formula1>
      <formula2>0</formula2>
    </dataValidation>
    <dataValidation allowBlank="true" errorStyle="stop" operator="between" showDropDown="false" showErrorMessage="true" showInputMessage="true" sqref="BY16:BY17" type="list">
      <formula1>'Gameplay Planning'!$1:$1</formula1>
      <formula2>0</formula2>
    </dataValidation>
    <dataValidation allowBlank="true" errorStyle="stop" operator="between" showDropDown="false" showErrorMessage="true" showInputMessage="true" sqref="BY27" type="list">
      <formula1>'Gameplay Planning'!$1:$1</formula1>
      <formula2>0</formula2>
    </dataValidation>
    <dataValidation allowBlank="true" errorStyle="stop" operator="between" showDropDown="false" showErrorMessage="true" showInputMessage="true" sqref="BY21:BY22" type="list">
      <formula1>'Gameplay Planning'!$1:$1</formula1>
      <formula2>0</formula2>
    </dataValidation>
    <dataValidation allowBlank="true" errorStyle="stop" operator="between" showDropDown="false" showErrorMessage="true" showInputMessage="true" sqref="BY2:BY8" type="list">
      <formula1>'Gameplay Planning'!$1:$1</formula1>
      <formula2>0</formula2>
    </dataValidation>
    <dataValidation allowBlank="true" errorStyle="stop" operator="between" showDropDown="false" showErrorMessage="true" showInputMessage="true" sqref="BY30" type="list">
      <formula1>'Gameplay Planning'!$1:$1</formula1>
      <formula2>0</formula2>
    </dataValidation>
    <dataValidation allowBlank="true" errorStyle="stop" operator="between" showDropDown="false" showErrorMessage="true" showInputMessage="true" sqref="BY20" type="list">
      <formula1>'Gameplay Planning'!$1:$1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W11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K8" activeCellId="0" sqref="K8"/>
    </sheetView>
  </sheetViews>
  <sheetFormatPr defaultColWidth="8.59765625" defaultRowHeight="15" customHeight="true" zeroHeight="false" outlineLevelRow="0" outlineLevelCol="0"/>
  <cols>
    <col collapsed="false" customWidth="true" hidden="false" outlineLevel="0" max="2" min="2" style="21" width="29"/>
    <col collapsed="false" customWidth="true" hidden="false" outlineLevel="0" max="4" min="3" style="21" width="17.3"/>
    <col collapsed="false" customWidth="true" hidden="false" outlineLevel="0" max="5" min="5" style="21" width="6.57"/>
    <col collapsed="false" customWidth="true" hidden="false" outlineLevel="0" max="8" min="8" style="21" width="12"/>
    <col collapsed="false" customWidth="true" hidden="false" outlineLevel="0" max="10" min="9" style="21" width="16.14"/>
    <col collapsed="false" customWidth="true" hidden="false" outlineLevel="0" max="11" min="11" style="21" width="13.3"/>
    <col collapsed="false" customWidth="true" hidden="false" outlineLevel="0" max="13" min="13" style="21" width="14"/>
    <col collapsed="false" customWidth="true" hidden="false" outlineLevel="0" max="15" min="15" style="21" width="13.71"/>
    <col collapsed="false" customWidth="true" hidden="false" outlineLevel="0" max="16" min="16" style="21" width="3.15"/>
    <col collapsed="false" customWidth="true" hidden="false" outlineLevel="0" max="18" min="18" style="21" width="12.57"/>
    <col collapsed="false" customWidth="true" hidden="false" outlineLevel="0" max="19" min="19" style="21" width="12.43"/>
    <col collapsed="false" customWidth="true" hidden="false" outlineLevel="0" max="20" min="20" style="21" width="10.85"/>
    <col collapsed="false" customWidth="true" hidden="false" outlineLevel="0" max="21" min="21" style="21" width="4.43"/>
    <col collapsed="false" customWidth="true" hidden="false" outlineLevel="0" max="22" min="22" style="21" width="7"/>
  </cols>
  <sheetData>
    <row r="1" customFormat="false" ht="15" hidden="false" customHeight="false" outlineLevel="0" collapsed="false">
      <c r="C1" s="33" t="s">
        <v>234</v>
      </c>
      <c r="D1" s="33" t="s">
        <v>235</v>
      </c>
      <c r="E1" s="33" t="s">
        <v>236</v>
      </c>
      <c r="F1" s="33" t="s">
        <v>237</v>
      </c>
      <c r="G1" s="33" t="s">
        <v>238</v>
      </c>
      <c r="H1" s="33" t="s">
        <v>196</v>
      </c>
      <c r="I1" s="33" t="s">
        <v>178</v>
      </c>
      <c r="J1" s="33" t="s">
        <v>239</v>
      </c>
      <c r="K1" s="33" t="s">
        <v>240</v>
      </c>
      <c r="L1" s="33" t="s">
        <v>97</v>
      </c>
      <c r="M1" s="33" t="s">
        <v>241</v>
      </c>
      <c r="N1" s="33" t="s">
        <v>124</v>
      </c>
      <c r="O1" s="33" t="s">
        <v>153</v>
      </c>
      <c r="P1" s="33" t="s">
        <v>242</v>
      </c>
      <c r="Q1" s="33" t="s">
        <v>232</v>
      </c>
      <c r="R1" s="33" t="s">
        <v>243</v>
      </c>
      <c r="S1" s="33" t="s">
        <v>244</v>
      </c>
      <c r="T1" s="33" t="s">
        <v>245</v>
      </c>
      <c r="U1" s="33" t="s">
        <v>246</v>
      </c>
      <c r="V1" s="33" t="s">
        <v>203</v>
      </c>
      <c r="W1" s="33" t="s">
        <v>247</v>
      </c>
    </row>
    <row r="2" customFormat="false" ht="15" hidden="false" customHeight="false" outlineLevel="0" collapsed="false">
      <c r="A2" s="33" t="s">
        <v>248</v>
      </c>
      <c r="B2" s="33" t="s">
        <v>249</v>
      </c>
    </row>
    <row r="3" customFormat="false" ht="15" hidden="false" customHeight="false" outlineLevel="0" collapsed="false">
      <c r="A3" s="21" t="s">
        <v>250</v>
      </c>
      <c r="B3" s="21" t="str">
        <f aca="false">VLOOKUP(A3, Eras!$B$2:$C$10, 2, FALSE())</f>
        <v>Early (1800-1850)</v>
      </c>
      <c r="C3" s="22" t="n">
        <f aca="false">COUNTIF(Table!$CB:$CB,CONCATENATE($A3,"_",C$1))</f>
        <v>0</v>
      </c>
      <c r="D3" s="22" t="n">
        <f aca="false">COUNTIF(Table!$CB:$CB,CONCATENATE($A3,"_",D$1))</f>
        <v>0</v>
      </c>
      <c r="E3" s="22" t="n">
        <f aca="false">COUNTIF(Table!$CB:$CB,CONCATENATE($A3,"_",E$1))</f>
        <v>0</v>
      </c>
      <c r="F3" s="22" t="n">
        <f aca="false">COUNTIF(Table!$CB:$CB,CONCATENATE($A3,"_",F$1))</f>
        <v>0</v>
      </c>
      <c r="G3" s="22" t="n">
        <f aca="false">COUNTIF(Table!$CB:$CB,CONCATENATE($A3,"_",G$1))</f>
        <v>0</v>
      </c>
      <c r="H3" s="21" t="n">
        <f aca="false">COUNTIF(Table!$CB:$CB,CONCATENATE($A3,"_",H$1))</f>
        <v>0</v>
      </c>
      <c r="I3" s="21" t="n">
        <f aca="false">COUNTIF(Table!$CB:$CB,CONCATENATE($A3,"_",I$1))</f>
        <v>0</v>
      </c>
      <c r="J3" s="21" t="n">
        <f aca="false">COUNTIF(Table!$CB:$CB,CONCATENATE($A3,"_",J$1))</f>
        <v>0</v>
      </c>
      <c r="K3" s="21" t="n">
        <f aca="false">COUNTIF(Table!$CB:$CB,CONCATENATE($A3,"_",K$1))</f>
        <v>0</v>
      </c>
      <c r="L3" s="21" t="n">
        <f aca="false">COUNTIF(Table!$CB:$CB,CONCATENATE($A3,"_",L$1))</f>
        <v>0</v>
      </c>
      <c r="M3" s="21" t="n">
        <f aca="false">COUNTIF(Table!$CB:$CB,CONCATENATE($A3,"_",M$1))</f>
        <v>0</v>
      </c>
      <c r="N3" s="21" t="n">
        <f aca="false">COUNTIF(Table!$CB:$CB,CONCATENATE($A3,"_",N$1))</f>
        <v>0</v>
      </c>
      <c r="O3" s="21" t="n">
        <f aca="false">COUNTIF(Table!$CB:$CB,CONCATENATE($A3,"_",O$1))</f>
        <v>0</v>
      </c>
      <c r="P3" s="22" t="n">
        <f aca="false">COUNTIF(Table!$CB:$CB,CONCATENATE($A3,"_",P$1))</f>
        <v>0</v>
      </c>
      <c r="Q3" s="22" t="n">
        <f aca="false">COUNTIF(Table!$CB:$CB,CONCATENATE($A3,"_",Q$1))</f>
        <v>0</v>
      </c>
      <c r="R3" s="22" t="n">
        <f aca="false">COUNTIF(Table!$CB:$CB,CONCATENATE($A3,"_",R$1))</f>
        <v>0</v>
      </c>
      <c r="S3" s="22" t="n">
        <f aca="false">COUNTIF(Table!$CB:$CB,CONCATENATE($A3,"_",S$1))</f>
        <v>0</v>
      </c>
      <c r="T3" s="22" t="n">
        <f aca="false">COUNTIF(Table!$CB:$CB,CONCATENATE($A3,"_",T$1))</f>
        <v>0</v>
      </c>
      <c r="U3" s="22" t="n">
        <f aca="false">COUNTIF(Table!$CB:$CB,CONCATENATE($A3,"_",U$1))</f>
        <v>0</v>
      </c>
      <c r="V3" s="22" t="n">
        <f aca="false">COUNTIF(Table!$CB:$CB,CONCATENATE($A3,"_",V$1))</f>
        <v>0</v>
      </c>
      <c r="W3" s="22" t="n">
        <f aca="false">COUNTIF(Table!$CB:$CB,CONCATENATE($A3,"_",W$1))</f>
        <v>0</v>
      </c>
    </row>
    <row r="4" customFormat="false" ht="15" hidden="false" customHeight="false" outlineLevel="0" collapsed="false">
      <c r="A4" s="21" t="s">
        <v>251</v>
      </c>
      <c r="B4" s="21" t="str">
        <f aca="false">VLOOKUP(A4, Eras!$B$2:$C$10, 2, FALSE())</f>
        <v>Victorian (1850-1900)</v>
      </c>
      <c r="C4" s="22" t="n">
        <f aca="false">COUNTIF(Table!$CB:$CB,CONCATENATE($A4,"_",C$1))</f>
        <v>0</v>
      </c>
      <c r="D4" s="22" t="n">
        <f aca="false">COUNTIF(Table!$CB:$CB,CONCATENATE($A4,"_",D$1))</f>
        <v>0</v>
      </c>
      <c r="E4" s="22" t="n">
        <f aca="false">COUNTIF(Table!$CB:$CB,CONCATENATE($A4,"_",E$1))</f>
        <v>0</v>
      </c>
      <c r="F4" s="22" t="n">
        <f aca="false">COUNTIF(Table!$CB:$CB,CONCATENATE($A4,"_",F$1))</f>
        <v>0</v>
      </c>
      <c r="G4" s="22" t="n">
        <f aca="false">COUNTIF(Table!$CB:$CB,CONCATENATE($A4,"_",G$1))</f>
        <v>0</v>
      </c>
      <c r="H4" s="21" t="n">
        <f aca="false">COUNTIF(Table!$CB:$CB,CONCATENATE($A4,"_",H$1))</f>
        <v>0</v>
      </c>
      <c r="I4" s="21" t="n">
        <f aca="false">COUNTIF(Table!$CB:$CB,CONCATENATE($A4,"_",I$1))</f>
        <v>0</v>
      </c>
      <c r="J4" s="21" t="n">
        <f aca="false">COUNTIF(Table!$CB:$CB,CONCATENATE($A4,"_",J$1))</f>
        <v>0</v>
      </c>
      <c r="K4" s="21" t="n">
        <f aca="false">COUNTIF(Table!$CB:$CB,CONCATENATE($A4,"_",K$1))</f>
        <v>0</v>
      </c>
      <c r="L4" s="21" t="n">
        <f aca="false">COUNTIF(Table!$CB:$CB,CONCATENATE($A4,"_",L$1))</f>
        <v>0</v>
      </c>
      <c r="M4" s="21" t="n">
        <f aca="false">COUNTIF(Table!$CB:$CB,CONCATENATE($A4,"_",M$1))</f>
        <v>0</v>
      </c>
      <c r="N4" s="21" t="n">
        <f aca="false">COUNTIF(Table!$CB:$CB,CONCATENATE($A4,"_",N$1))</f>
        <v>0</v>
      </c>
      <c r="O4" s="21" t="n">
        <f aca="false">COUNTIF(Table!$CB:$CB,CONCATENATE($A4,"_",O$1))</f>
        <v>0</v>
      </c>
      <c r="P4" s="22" t="n">
        <f aca="false">COUNTIF(Table!$CB:$CB,CONCATENATE($A4,"_",P$1))</f>
        <v>0</v>
      </c>
      <c r="Q4" s="22" t="n">
        <f aca="false">COUNTIF(Table!$CB:$CB,CONCATENATE($A4,"_",Q$1))</f>
        <v>0</v>
      </c>
      <c r="R4" s="22" t="n">
        <f aca="false">COUNTIF(Table!$CB:$CB,CONCATENATE($A4,"_",R$1))</f>
        <v>0</v>
      </c>
      <c r="S4" s="22" t="n">
        <f aca="false">COUNTIF(Table!$CB:$CB,CONCATENATE($A4,"_",S$1))</f>
        <v>0</v>
      </c>
      <c r="T4" s="22" t="n">
        <f aca="false">COUNTIF(Table!$CB:$CB,CONCATENATE($A4,"_",T$1))</f>
        <v>0</v>
      </c>
      <c r="U4" s="22" t="n">
        <f aca="false">COUNTIF(Table!$CB:$CB,CONCATENATE($A4,"_",U$1))</f>
        <v>0</v>
      </c>
      <c r="V4" s="22" t="n">
        <f aca="false">COUNTIF(Table!$CB:$CB,CONCATENATE($A4,"_",V$1))</f>
        <v>0</v>
      </c>
      <c r="W4" s="22" t="n">
        <f aca="false">COUNTIF(Table!$CB:$CB,CONCATENATE($A4,"_",W$1))</f>
        <v>0</v>
      </c>
    </row>
    <row r="5" customFormat="false" ht="15" hidden="false" customHeight="false" outlineLevel="0" collapsed="false">
      <c r="A5" s="21" t="s">
        <v>252</v>
      </c>
      <c r="B5" s="21" t="str">
        <f aca="false">VLOOKUP(A5, Eras!$B$2:$C$10, 2, FALSE())</f>
        <v>Edwardian (1900-1920)</v>
      </c>
      <c r="C5" s="22" t="n">
        <f aca="false">COUNTIF(Table!$CB:$CB,CONCATENATE($A5,"_",C$1))</f>
        <v>0</v>
      </c>
      <c r="D5" s="22" t="n">
        <f aca="false">COUNTIF(Table!$CB:$CB,CONCATENATE($A5,"_",D$1))</f>
        <v>0</v>
      </c>
      <c r="E5" s="22" t="n">
        <f aca="false">COUNTIF(Table!$CB:$CB,CONCATENATE($A5,"_",E$1))</f>
        <v>0</v>
      </c>
      <c r="F5" s="22" t="n">
        <f aca="false">COUNTIF(Table!$CB:$CB,CONCATENATE($A5,"_",F$1))</f>
        <v>0</v>
      </c>
      <c r="G5" s="22" t="n">
        <f aca="false">COUNTIF(Table!$CB:$CB,CONCATENATE($A5,"_",G$1))</f>
        <v>0</v>
      </c>
      <c r="H5" s="21" t="n">
        <f aca="false">COUNTIF(Table!$CB:$CB,CONCATENATE($A5,"_",H$1))</f>
        <v>0</v>
      </c>
      <c r="I5" s="21" t="n">
        <f aca="false">COUNTIF(Table!$CB:$CB,CONCATENATE($A5,"_",I$1))</f>
        <v>0</v>
      </c>
      <c r="J5" s="22" t="n">
        <f aca="false">COUNTIF(Table!$CB:$CB,CONCATENATE($A5,"_",J$1))</f>
        <v>0</v>
      </c>
      <c r="K5" s="22" t="n">
        <f aca="false">COUNTIF(Table!$CB:$CB,CONCATENATE($A5,"_",K$1))</f>
        <v>0</v>
      </c>
      <c r="L5" s="21" t="n">
        <f aca="false">COUNTIF(Table!$CB:$CB,CONCATENATE($A5,"_",L$1))</f>
        <v>0</v>
      </c>
      <c r="M5" s="21" t="n">
        <f aca="false">COUNTIF(Table!$CB:$CB,CONCATENATE($A5,"_",M$1))</f>
        <v>0</v>
      </c>
      <c r="N5" s="22" t="n">
        <f aca="false">COUNTIF(Table!$CB:$CB,CONCATENATE($A5,"_",N$1))</f>
        <v>0</v>
      </c>
      <c r="O5" s="21" t="n">
        <f aca="false">COUNTIF(Table!$CB:$CB,CONCATENATE($A5,"_",O$1))</f>
        <v>0</v>
      </c>
      <c r="P5" s="22" t="n">
        <f aca="false">COUNTIF(Table!$CB:$CB,CONCATENATE($A5,"_",P$1))</f>
        <v>0</v>
      </c>
      <c r="Q5" s="22" t="n">
        <f aca="false">COUNTIF(Table!$CB:$CB,CONCATENATE($A5,"_",Q$1))</f>
        <v>0</v>
      </c>
      <c r="R5" s="22" t="n">
        <f aca="false">COUNTIF(Table!$CB:$CB,CONCATENATE($A5,"_",R$1))</f>
        <v>0</v>
      </c>
      <c r="S5" s="22" t="n">
        <f aca="false">COUNTIF(Table!$CB:$CB,CONCATENATE($A5,"_",S$1))</f>
        <v>0</v>
      </c>
      <c r="T5" s="22" t="n">
        <f aca="false">COUNTIF(Table!$CB:$CB,CONCATENATE($A5,"_",T$1))</f>
        <v>0</v>
      </c>
      <c r="U5" s="22" t="n">
        <f aca="false">COUNTIF(Table!$CB:$CB,CONCATENATE($A5,"_",U$1))</f>
        <v>0</v>
      </c>
      <c r="V5" s="22" t="n">
        <f aca="false">COUNTIF(Table!$CB:$CB,CONCATENATE($A5,"_",V$1))</f>
        <v>0</v>
      </c>
      <c r="W5" s="22" t="n">
        <f aca="false">COUNTIF(Table!$CB:$CB,CONCATENATE($A5,"_",W$1))</f>
        <v>0</v>
      </c>
    </row>
    <row r="6" customFormat="false" ht="15" hidden="false" customHeight="false" outlineLevel="0" collapsed="false">
      <c r="A6" s="21" t="s">
        <v>253</v>
      </c>
      <c r="B6" s="21" t="str">
        <f aca="false">VLOOKUP(A6, Eras!$B$2:$C$10, 2, FALSE())</f>
        <v>Big Four (1923-1948)</v>
      </c>
      <c r="C6" s="22" t="n">
        <f aca="false">COUNTIF(Table!$CB:$CB,CONCATENATE($A6,"_",C$1))</f>
        <v>0</v>
      </c>
      <c r="D6" s="22" t="n">
        <f aca="false">COUNTIF(Table!$CB:$CB,CONCATENATE($A6,"_",D$1))</f>
        <v>0</v>
      </c>
      <c r="E6" s="22" t="n">
        <f aca="false">COUNTIF(Table!$CB:$CB,CONCATENATE($A6,"_",E$1))</f>
        <v>0</v>
      </c>
      <c r="F6" s="22" t="n">
        <f aca="false">COUNTIF(Table!$CB:$CB,CONCATENATE($A6,"_",F$1))</f>
        <v>0</v>
      </c>
      <c r="G6" s="22" t="n">
        <f aca="false">COUNTIF(Table!$CB:$CB,CONCATENATE($A6,"_",G$1))</f>
        <v>0</v>
      </c>
      <c r="H6" s="21" t="n">
        <f aca="false">COUNTIF(Table!$CB:$CB,CONCATENATE($A6,"_",H$1))</f>
        <v>0</v>
      </c>
      <c r="I6" s="21" t="n">
        <f aca="false">COUNTIF(Table!$CB:$CB,CONCATENATE($A6,"_",I$1))</f>
        <v>0</v>
      </c>
      <c r="J6" s="22" t="n">
        <f aca="false">COUNTIF(Table!$CB:$CB,CONCATENATE($A6,"_",J$1))</f>
        <v>0</v>
      </c>
      <c r="K6" s="22" t="n">
        <f aca="false">COUNTIF(Table!$CB:$CB,CONCATENATE($A6,"_",K$1))</f>
        <v>0</v>
      </c>
      <c r="L6" s="22" t="n">
        <f aca="false">COUNTIF(Table!$CB:$CB,CONCATENATE($A6,"_",L$1))</f>
        <v>0</v>
      </c>
      <c r="M6" s="22" t="n">
        <f aca="false">COUNTIF(Table!$CB:$CB,CONCATENATE($A6,"_",M$1))</f>
        <v>0</v>
      </c>
      <c r="N6" s="22" t="n">
        <f aca="false">COUNTIF(Table!$CB:$CB,CONCATENATE($A6,"_",N$1))</f>
        <v>0</v>
      </c>
      <c r="O6" s="22" t="n">
        <f aca="false">COUNTIF(Table!$CB:$CB,CONCATENATE($A6,"_",O$1))</f>
        <v>0</v>
      </c>
      <c r="P6" s="22" t="n">
        <f aca="false">COUNTIF(Table!$CB:$CB,CONCATENATE($A6,"_",P$1))</f>
        <v>0</v>
      </c>
      <c r="Q6" s="22" t="n">
        <f aca="false">COUNTIF(Table!$CB:$CB,CONCATENATE($A6,"_",Q$1))</f>
        <v>0</v>
      </c>
      <c r="R6" s="22" t="n">
        <f aca="false">COUNTIF(Table!$CB:$CB,CONCATENATE($A6,"_",R$1))</f>
        <v>0</v>
      </c>
      <c r="S6" s="22" t="n">
        <f aca="false">COUNTIF(Table!$CB:$CB,CONCATENATE($A6,"_",S$1))</f>
        <v>0</v>
      </c>
      <c r="T6" s="22" t="n">
        <f aca="false">COUNTIF(Table!$CB:$CB,CONCATENATE($A6,"_",T$1))</f>
        <v>0</v>
      </c>
      <c r="U6" s="22" t="n">
        <f aca="false">COUNTIF(Table!$CB:$CB,CONCATENATE($A6,"_",U$1))</f>
        <v>0</v>
      </c>
      <c r="V6" s="22" t="n">
        <f aca="false">COUNTIF(Table!$CB:$CB,CONCATENATE($A6,"_",V$1))</f>
        <v>0</v>
      </c>
      <c r="W6" s="22" t="n">
        <f aca="false">COUNTIF(Table!$CB:$CB,CONCATENATE($A6,"_",W$1))</f>
        <v>0</v>
      </c>
    </row>
    <row r="7" customFormat="false" ht="15" hidden="false" customHeight="false" outlineLevel="0" collapsed="false">
      <c r="A7" s="21" t="s">
        <v>254</v>
      </c>
      <c r="B7" s="21" t="str">
        <f aca="false">VLOOKUP(A7, Eras!$B$2:$C$10, 2, FALSE())</f>
        <v>Early BR (1948-1955)</v>
      </c>
      <c r="C7" s="22" t="n">
        <f aca="false">COUNTIF(Table!$CB:$CB,CONCATENATE($A7,"_",C$1))</f>
        <v>0</v>
      </c>
      <c r="D7" s="22" t="n">
        <f aca="false">COUNTIF(Table!$CB:$CB,CONCATENATE($A7,"_",D$1))</f>
        <v>0</v>
      </c>
      <c r="E7" s="22" t="n">
        <f aca="false">COUNTIF(Table!$CB:$CB,CONCATENATE($A7,"_",E$1))</f>
        <v>0</v>
      </c>
      <c r="F7" s="22" t="n">
        <f aca="false">COUNTIF(Table!$CB:$CB,CONCATENATE($A7,"_",F$1))</f>
        <v>0</v>
      </c>
      <c r="G7" s="22" t="n">
        <f aca="false">COUNTIF(Table!$CB:$CB,CONCATENATE($A7,"_",G$1))</f>
        <v>0</v>
      </c>
      <c r="H7" s="21" t="n">
        <f aca="false">COUNTIF(Table!$CB:$CB,CONCATENATE($A7,"_",H$1))</f>
        <v>0</v>
      </c>
      <c r="I7" s="21" t="n">
        <f aca="false">COUNTIF(Table!$CB:$CB,CONCATENATE($A7,"_",I$1))</f>
        <v>0</v>
      </c>
      <c r="J7" s="22" t="n">
        <f aca="false">COUNTIF(Table!$CB:$CB,CONCATENATE($A7,"_",J$1))</f>
        <v>0</v>
      </c>
      <c r="K7" s="22" t="n">
        <f aca="false">COUNTIF(Table!$CB:$CB,CONCATENATE($A7,"_",K$1))</f>
        <v>0</v>
      </c>
      <c r="L7" s="22" t="n">
        <f aca="false">COUNTIF(Table!$CB:$CB,CONCATENATE($A7,"_",L$1))</f>
        <v>0</v>
      </c>
      <c r="M7" s="22" t="n">
        <f aca="false">COUNTIF(Table!$CB:$CB,CONCATENATE($A7,"_",M$1))</f>
        <v>0</v>
      </c>
      <c r="N7" s="22" t="n">
        <f aca="false">COUNTIF(Table!$CB:$CB,CONCATENATE($A7,"_",N$1))</f>
        <v>0</v>
      </c>
      <c r="O7" s="22" t="n">
        <f aca="false">COUNTIF(Table!$CB:$CB,CONCATENATE($A7,"_",O$1))</f>
        <v>0</v>
      </c>
      <c r="P7" s="22" t="n">
        <f aca="false">COUNTIF(Table!$CB:$CB,CONCATENATE($A7,"_",P$1))</f>
        <v>0</v>
      </c>
      <c r="Q7" s="22" t="n">
        <f aca="false">COUNTIF(Table!$CB:$CB,CONCATENATE($A7,"_",Q$1))</f>
        <v>0</v>
      </c>
      <c r="R7" s="22" t="n">
        <f aca="false">COUNTIF(Table!$CB:$CB,CONCATENATE($A7,"_",R$1))</f>
        <v>0</v>
      </c>
      <c r="S7" s="22" t="n">
        <f aca="false">COUNTIF(Table!$CB:$CB,CONCATENATE($A7,"_",S$1))</f>
        <v>0</v>
      </c>
      <c r="T7" s="22" t="n">
        <f aca="false">COUNTIF(Table!$CB:$CB,CONCATENATE($A7,"_",T$1))</f>
        <v>0</v>
      </c>
      <c r="U7" s="22" t="n">
        <f aca="false">COUNTIF(Table!$CB:$CB,CONCATENATE($A7,"_",U$1))</f>
        <v>0</v>
      </c>
      <c r="V7" s="22" t="n">
        <f aca="false">COUNTIF(Table!$CB:$CB,CONCATENATE($A7,"_",V$1))</f>
        <v>0</v>
      </c>
      <c r="W7" s="22" t="n">
        <f aca="false">COUNTIF(Table!$CB:$CB,CONCATENATE($A7,"_",W$1))</f>
        <v>0</v>
      </c>
    </row>
    <row r="8" customFormat="false" ht="15" hidden="false" customHeight="false" outlineLevel="0" collapsed="false">
      <c r="A8" s="21" t="s">
        <v>255</v>
      </c>
      <c r="B8" s="21" t="str">
        <f aca="false">VLOOKUP(A8, Eras!$B$2:$C$10, 2, FALSE())</f>
        <v>Dieselisation (1955-1970)</v>
      </c>
      <c r="C8" s="22" t="n">
        <f aca="false">COUNTIF(Table!$CB:$CB,CONCATENATE($A8,"_",C$1))</f>
        <v>0</v>
      </c>
      <c r="D8" s="22" t="n">
        <f aca="false">COUNTIF(Table!$CB:$CB,CONCATENATE($A8,"_",D$1))</f>
        <v>0</v>
      </c>
      <c r="E8" s="22" t="n">
        <f aca="false">COUNTIF(Table!$CB:$CB,CONCATENATE($A8,"_",E$1))</f>
        <v>0</v>
      </c>
      <c r="F8" s="22" t="n">
        <f aca="false">COUNTIF(Table!$CB:$CB,CONCATENATE($A8,"_",F$1))</f>
        <v>0</v>
      </c>
      <c r="G8" s="22" t="n">
        <f aca="false">COUNTIF(Table!$CB:$CB,CONCATENATE($A8,"_",G$1))</f>
        <v>0</v>
      </c>
      <c r="H8" s="22" t="n">
        <f aca="false">COUNTIF(Table!$CB:$CB,CONCATENATE($A8,"_",H$1))</f>
        <v>0</v>
      </c>
      <c r="I8" s="22" t="n">
        <f aca="false">COUNTIF(Table!$CB:$CB,CONCATENATE($A8,"_",I$1))</f>
        <v>0</v>
      </c>
      <c r="J8" s="22" t="n">
        <f aca="false">COUNTIF(Table!$CB:$CB,CONCATENATE($A8,"_",J$1))</f>
        <v>0</v>
      </c>
      <c r="K8" s="22" t="n">
        <f aca="false">COUNTIF(Table!$CB:$CB,CONCATENATE($A8,"_",K$1))</f>
        <v>0</v>
      </c>
      <c r="L8" s="22" t="n">
        <f aca="false">COUNTIF(Table!$CB:$CB,CONCATENATE($A8,"_",L$1))</f>
        <v>0</v>
      </c>
      <c r="M8" s="22" t="n">
        <f aca="false">COUNTIF(Table!$CB:$CB,CONCATENATE($A8,"_",M$1))</f>
        <v>0</v>
      </c>
      <c r="N8" s="22" t="n">
        <f aca="false">COUNTIF(Table!$CB:$CB,CONCATENATE($A8,"_",N$1))</f>
        <v>0</v>
      </c>
      <c r="O8" s="22" t="n">
        <f aca="false">COUNTIF(Table!$CB:$CB,CONCATENATE($A8,"_",O$1))</f>
        <v>0</v>
      </c>
      <c r="P8" s="22" t="n">
        <f aca="false">COUNTIF(Table!$CB:$CB,CONCATENATE($A8,"_",P$1))</f>
        <v>0</v>
      </c>
      <c r="Q8" s="22" t="n">
        <f aca="false">COUNTIF(Table!$CB:$CB,CONCATENATE($A8,"_",Q$1))</f>
        <v>0</v>
      </c>
      <c r="R8" s="22" t="n">
        <f aca="false">COUNTIF(Table!$CB:$CB,CONCATENATE($A8,"_",R$1))</f>
        <v>0</v>
      </c>
      <c r="S8" s="22" t="n">
        <f aca="false">COUNTIF(Table!$CB:$CB,CONCATENATE($A8,"_",S$1))</f>
        <v>0</v>
      </c>
      <c r="T8" s="22" t="n">
        <f aca="false">COUNTIF(Table!$CB:$CB,CONCATENATE($A8,"_",T$1))</f>
        <v>0</v>
      </c>
      <c r="U8" s="22" t="n">
        <f aca="false">COUNTIF(Table!$CB:$CB,CONCATENATE($A8,"_",U$1))</f>
        <v>0</v>
      </c>
      <c r="V8" s="22" t="n">
        <f aca="false">COUNTIF(Table!$CB:$CB,CONCATENATE($A8,"_",V$1))</f>
        <v>0</v>
      </c>
      <c r="W8" s="22" t="n">
        <f aca="false">COUNTIF(Table!$CB:$CB,CONCATENATE($A8,"_",W$1))</f>
        <v>0</v>
      </c>
    </row>
    <row r="9" customFormat="false" ht="15" hidden="false" customHeight="false" outlineLevel="0" collapsed="false">
      <c r="A9" s="21" t="s">
        <v>141</v>
      </c>
      <c r="B9" s="21" t="str">
        <f aca="false">VLOOKUP(A9, Eras!$B$2:$C$10, 2, FALSE())</f>
        <v>Late BR (1970-1995)</v>
      </c>
      <c r="C9" s="22" t="n">
        <f aca="false">COUNTIF(Table!$CB:$CB,CONCATENATE($A9,"_",C$1))</f>
        <v>0</v>
      </c>
      <c r="D9" s="22" t="n">
        <f aca="false">COUNTIF(Table!$CB:$CB,CONCATENATE($A9,"_",D$1))</f>
        <v>0</v>
      </c>
      <c r="E9" s="22" t="n">
        <f aca="false">COUNTIF(Table!$CB:$CB,CONCATENATE($A9,"_",E$1))</f>
        <v>0</v>
      </c>
      <c r="F9" s="22" t="n">
        <f aca="false">COUNTIF(Table!$CB:$CB,CONCATENATE($A9,"_",F$1))</f>
        <v>0</v>
      </c>
      <c r="G9" s="22" t="n">
        <f aca="false">COUNTIF(Table!$CB:$CB,CONCATENATE($A9,"_",G$1))</f>
        <v>0</v>
      </c>
      <c r="H9" s="22" t="n">
        <f aca="false">COUNTIF(Table!$CB:$CB,CONCATENATE($A9,"_",H$1))</f>
        <v>0</v>
      </c>
      <c r="I9" s="22" t="n">
        <f aca="false">COUNTIF(Table!$CB:$CB,CONCATENATE($A9,"_",I$1))</f>
        <v>0</v>
      </c>
      <c r="J9" s="22" t="n">
        <f aca="false">COUNTIF(Table!$CB:$CB,CONCATENATE($A9,"_",J$1))</f>
        <v>0</v>
      </c>
      <c r="K9" s="22" t="n">
        <f aca="false">COUNTIF(Table!$CB:$CB,CONCATENATE($A9,"_",K$1))</f>
        <v>0</v>
      </c>
      <c r="L9" s="22" t="n">
        <f aca="false">COUNTIF(Table!$CB:$CB,CONCATENATE($A9,"_",L$1))</f>
        <v>0</v>
      </c>
      <c r="M9" s="22" t="n">
        <f aca="false">COUNTIF(Table!$CB:$CB,CONCATENATE($A9,"_",M$1))</f>
        <v>0</v>
      </c>
      <c r="N9" s="22" t="n">
        <f aca="false">COUNTIF(Table!$CB:$CB,CONCATENATE($A9,"_",N$1))</f>
        <v>0</v>
      </c>
      <c r="O9" s="22" t="n">
        <f aca="false">COUNTIF(Table!$CB:$CB,CONCATENATE($A9,"_",O$1))</f>
        <v>0</v>
      </c>
      <c r="P9" s="22" t="n">
        <f aca="false">COUNTIF(Table!$CB:$CB,CONCATENATE($A9,"_",P$1))</f>
        <v>0</v>
      </c>
      <c r="Q9" s="22" t="n">
        <f aca="false">COUNTIF(Table!$CB:$CB,CONCATENATE($A9,"_",Q$1))</f>
        <v>0</v>
      </c>
      <c r="R9" s="22" t="n">
        <f aca="false">COUNTIF(Table!$CB:$CB,CONCATENATE($A9,"_",R$1))</f>
        <v>0</v>
      </c>
      <c r="S9" s="22" t="n">
        <f aca="false">COUNTIF(Table!$CB:$CB,CONCATENATE($A9,"_",S$1))</f>
        <v>0</v>
      </c>
      <c r="T9" s="22" t="n">
        <f aca="false">COUNTIF(Table!$CB:$CB,CONCATENATE($A9,"_",T$1))</f>
        <v>0</v>
      </c>
      <c r="U9" s="22" t="n">
        <f aca="false">COUNTIF(Table!$CB:$CB,CONCATENATE($A9,"_",U$1))</f>
        <v>0</v>
      </c>
      <c r="V9" s="22" t="n">
        <f aca="false">COUNTIF(Table!$CB:$CB,CONCATENATE($A9,"_",V$1))</f>
        <v>0</v>
      </c>
      <c r="W9" s="22" t="n">
        <f aca="false">COUNTIF(Table!$CB:$CB,CONCATENATE($A9,"_",W$1))</f>
        <v>0</v>
      </c>
    </row>
    <row r="10" customFormat="false" ht="15" hidden="false" customHeight="false" outlineLevel="0" collapsed="false">
      <c r="A10" s="21" t="s">
        <v>256</v>
      </c>
      <c r="B10" s="21" t="str">
        <f aca="false">VLOOKUP(A10, Eras!$B$2:$C$10, 2, FALSE())</f>
        <v>Privatisation (1995-2005)</v>
      </c>
      <c r="C10" s="22" t="n">
        <f aca="false">COUNTIF(Table!$CB:$CB,CONCATENATE($A10,"_",C$1))</f>
        <v>0</v>
      </c>
      <c r="D10" s="22" t="n">
        <f aca="false">COUNTIF(Table!$CB:$CB,CONCATENATE($A10,"_",D$1))</f>
        <v>0</v>
      </c>
      <c r="E10" s="22" t="n">
        <f aca="false">COUNTIF(Table!$CB:$CB,CONCATENATE($A10,"_",E$1))</f>
        <v>0</v>
      </c>
      <c r="F10" s="22" t="n">
        <f aca="false">COUNTIF(Table!$CB:$CB,CONCATENATE($A10,"_",F$1))</f>
        <v>0</v>
      </c>
      <c r="G10" s="22" t="n">
        <f aca="false">COUNTIF(Table!$CB:$CB,CONCATENATE($A10,"_",G$1))</f>
        <v>0</v>
      </c>
      <c r="H10" s="22" t="n">
        <f aca="false">COUNTIF(Table!$CB:$CB,CONCATENATE($A10,"_",H$1))</f>
        <v>0</v>
      </c>
      <c r="I10" s="22" t="n">
        <f aca="false">COUNTIF(Table!$CB:$CB,CONCATENATE($A10,"_",I$1))</f>
        <v>0</v>
      </c>
      <c r="J10" s="22" t="n">
        <f aca="false">COUNTIF(Table!$CB:$CB,CONCATENATE($A10,"_",J$1))</f>
        <v>0</v>
      </c>
      <c r="K10" s="22" t="n">
        <f aca="false">COUNTIF(Table!$CB:$CB,CONCATENATE($A10,"_",K$1))</f>
        <v>0</v>
      </c>
      <c r="L10" s="22" t="n">
        <f aca="false">COUNTIF(Table!$CB:$CB,CONCATENATE($A10,"_",L$1))</f>
        <v>0</v>
      </c>
      <c r="M10" s="22" t="n">
        <f aca="false">COUNTIF(Table!$CB:$CB,CONCATENATE($A10,"_",M$1))</f>
        <v>0</v>
      </c>
      <c r="N10" s="22" t="n">
        <f aca="false">COUNTIF(Table!$CB:$CB,CONCATENATE($A10,"_",N$1))</f>
        <v>0</v>
      </c>
      <c r="O10" s="22" t="n">
        <f aca="false">COUNTIF(Table!$CB:$CB,CONCATENATE($A10,"_",O$1))</f>
        <v>0</v>
      </c>
      <c r="P10" s="22" t="n">
        <f aca="false">COUNTIF(Table!$CB:$CB,CONCATENATE($A10,"_",P$1))</f>
        <v>0</v>
      </c>
      <c r="Q10" s="22" t="n">
        <f aca="false">COUNTIF(Table!$CB:$CB,CONCATENATE($A10,"_",Q$1))</f>
        <v>0</v>
      </c>
      <c r="R10" s="22" t="n">
        <f aca="false">COUNTIF(Table!$CB:$CB,CONCATENATE($A10,"_",R$1))</f>
        <v>0</v>
      </c>
      <c r="S10" s="22" t="n">
        <f aca="false">COUNTIF(Table!$CB:$CB,CONCATENATE($A10,"_",S$1))</f>
        <v>0</v>
      </c>
      <c r="T10" s="22" t="n">
        <f aca="false">COUNTIF(Table!$CB:$CB,CONCATENATE($A10,"_",T$1))</f>
        <v>0</v>
      </c>
      <c r="U10" s="22" t="n">
        <f aca="false">COUNTIF(Table!$CB:$CB,CONCATENATE($A10,"_",U$1))</f>
        <v>0</v>
      </c>
      <c r="V10" s="22" t="n">
        <f aca="false">COUNTIF(Table!$CB:$CB,CONCATENATE($A10,"_",V$1))</f>
        <v>0</v>
      </c>
      <c r="W10" s="22" t="n">
        <f aca="false">COUNTIF(Table!$CB:$CB,CONCATENATE($A10,"_",W$1))</f>
        <v>0</v>
      </c>
    </row>
    <row r="11" customFormat="false" ht="15" hidden="false" customHeight="false" outlineLevel="0" collapsed="false">
      <c r="A11" s="21" t="s">
        <v>257</v>
      </c>
      <c r="B11" s="21" t="str">
        <f aca="false">VLOOKUP(A11, Eras!$B$2:$C$10, 2, FALSE())</f>
        <v>Modern (2005-)</v>
      </c>
      <c r="C11" s="22" t="n">
        <f aca="false">COUNTIF(Table!$CB:$CB,CONCATENATE($A11,"_",C$1))</f>
        <v>0</v>
      </c>
      <c r="D11" s="22" t="n">
        <f aca="false">COUNTIF(Table!$CB:$CB,CONCATENATE($A11,"_",D$1))</f>
        <v>0</v>
      </c>
      <c r="E11" s="22" t="n">
        <f aca="false">COUNTIF(Table!$CB:$CB,CONCATENATE($A11,"_",E$1))</f>
        <v>0</v>
      </c>
      <c r="F11" s="22" t="n">
        <f aca="false">COUNTIF(Table!$CB:$CB,CONCATENATE($A11,"_",F$1))</f>
        <v>0</v>
      </c>
      <c r="G11" s="22" t="n">
        <f aca="false">COUNTIF(Table!$CB:$CB,CONCATENATE($A11,"_",G$1))</f>
        <v>0</v>
      </c>
      <c r="H11" s="22" t="n">
        <f aca="false">COUNTIF(Table!$CB:$CB,CONCATENATE($A11,"_",H$1))</f>
        <v>0</v>
      </c>
      <c r="I11" s="22" t="n">
        <f aca="false">COUNTIF(Table!$CB:$CB,CONCATENATE($A11,"_",I$1))</f>
        <v>0</v>
      </c>
      <c r="J11" s="22" t="n">
        <f aca="false">COUNTIF(Table!$CB:$CB,CONCATENATE($A11,"_",J$1))</f>
        <v>0</v>
      </c>
      <c r="K11" s="22" t="n">
        <f aca="false">COUNTIF(Table!$CB:$CB,CONCATENATE($A11,"_",K$1))</f>
        <v>0</v>
      </c>
      <c r="L11" s="22" t="n">
        <f aca="false">COUNTIF(Table!$CB:$CB,CONCATENATE($A11,"_",L$1))</f>
        <v>0</v>
      </c>
      <c r="M11" s="22" t="n">
        <f aca="false">COUNTIF(Table!$CB:$CB,CONCATENATE($A11,"_",M$1))</f>
        <v>0</v>
      </c>
      <c r="N11" s="22" t="n">
        <f aca="false">COUNTIF(Table!$CB:$CB,CONCATENATE($A11,"_",N$1))</f>
        <v>0</v>
      </c>
      <c r="O11" s="22" t="n">
        <f aca="false">COUNTIF(Table!$CB:$CB,CONCATENATE($A11,"_",O$1))</f>
        <v>0</v>
      </c>
      <c r="P11" s="22" t="n">
        <f aca="false">COUNTIF(Table!$CB:$CB,CONCATENATE($A11,"_",P$1))</f>
        <v>0</v>
      </c>
      <c r="Q11" s="22" t="n">
        <f aca="false">COUNTIF(Table!$CB:$CB,CONCATENATE($A11,"_",Q$1))</f>
        <v>0</v>
      </c>
      <c r="R11" s="22" t="n">
        <f aca="false">COUNTIF(Table!$CB:$CB,CONCATENATE($A11,"_",R$1))</f>
        <v>0</v>
      </c>
      <c r="S11" s="22" t="n">
        <f aca="false">COUNTIF(Table!$CB:$CB,CONCATENATE($A11,"_",S$1))</f>
        <v>0</v>
      </c>
      <c r="T11" s="22" t="n">
        <f aca="false">COUNTIF(Table!$CB:$CB,CONCATENATE($A11,"_",T$1))</f>
        <v>0</v>
      </c>
      <c r="U11" s="22" t="n">
        <f aca="false">COUNTIF(Table!$CB:$CB,CONCATENATE($A11,"_",U$1))</f>
        <v>0</v>
      </c>
      <c r="V11" s="22" t="n">
        <f aca="false">COUNTIF(Table!$CB:$CB,CONCATENATE($A11,"_",V$1))</f>
        <v>0</v>
      </c>
      <c r="W11" s="22" t="n">
        <f aca="false">COUNTIF(Table!$CB:$CB,CONCATENATE($A11,"_",W$1))</f>
        <v>0</v>
      </c>
    </row>
  </sheetData>
  <conditionalFormatting sqref="C3:D11 E8:V11 E3:G7 J6:V7 J5:K5 P3:V5 N5 W3:W11">
    <cfRule type="colorScale" priority="2">
      <colorScale>
        <cfvo type="min" val="0"/>
        <cfvo type="num" val="1"/>
        <cfvo type="max" val="0"/>
        <color rgb="FFC55A11"/>
        <color rgb="FFFFEB84"/>
        <color rgb="FFA9D18E"/>
      </colorScale>
    </cfRule>
    <cfRule type="cellIs" priority="3" operator="lessThan" aboveAverage="0" equalAverage="0" bottom="0" percent="0" rank="0" text="" dxfId="9">
      <formula>1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0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A1" activeCellId="0" sqref="A1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21" width="9.57"/>
    <col collapsed="false" customWidth="true" hidden="false" outlineLevel="0" max="2" min="2" style="21" width="5.43"/>
    <col collapsed="false" customWidth="true" hidden="false" outlineLevel="0" max="3" min="3" style="21" width="29"/>
  </cols>
  <sheetData>
    <row r="1" customFormat="false" ht="15" hidden="false" customHeight="false" outlineLevel="0" collapsed="false">
      <c r="A1" s="33" t="s">
        <v>258</v>
      </c>
      <c r="B1" s="33" t="s">
        <v>259</v>
      </c>
      <c r="C1" s="33" t="s">
        <v>260</v>
      </c>
    </row>
    <row r="2" customFormat="false" ht="15" hidden="false" customHeight="false" outlineLevel="0" collapsed="false">
      <c r="A2" s="21" t="n">
        <v>1700</v>
      </c>
      <c r="B2" s="21" t="s">
        <v>250</v>
      </c>
      <c r="C2" s="21" t="s">
        <v>261</v>
      </c>
    </row>
    <row r="3" customFormat="false" ht="15" hidden="false" customHeight="false" outlineLevel="0" collapsed="false">
      <c r="A3" s="21" t="n">
        <v>1850</v>
      </c>
      <c r="B3" s="21" t="s">
        <v>251</v>
      </c>
      <c r="C3" s="21" t="s">
        <v>262</v>
      </c>
    </row>
    <row r="4" customFormat="false" ht="15" hidden="false" customHeight="false" outlineLevel="0" collapsed="false">
      <c r="A4" s="21" t="n">
        <v>1900</v>
      </c>
      <c r="B4" s="21" t="s">
        <v>252</v>
      </c>
      <c r="C4" s="21" t="s">
        <v>263</v>
      </c>
    </row>
    <row r="5" customFormat="false" ht="15" hidden="false" customHeight="false" outlineLevel="0" collapsed="false">
      <c r="A5" s="21" t="n">
        <v>1923</v>
      </c>
      <c r="B5" s="21" t="s">
        <v>253</v>
      </c>
      <c r="C5" s="21" t="s">
        <v>264</v>
      </c>
    </row>
    <row r="6" customFormat="false" ht="15" hidden="false" customHeight="false" outlineLevel="0" collapsed="false">
      <c r="A6" s="21" t="n">
        <v>1948</v>
      </c>
      <c r="B6" s="21" t="s">
        <v>254</v>
      </c>
      <c r="C6" s="21" t="s">
        <v>265</v>
      </c>
    </row>
    <row r="7" customFormat="false" ht="15" hidden="false" customHeight="false" outlineLevel="0" collapsed="false">
      <c r="A7" s="21" t="n">
        <v>1955</v>
      </c>
      <c r="B7" s="21" t="s">
        <v>255</v>
      </c>
      <c r="C7" s="21" t="s">
        <v>266</v>
      </c>
    </row>
    <row r="8" customFormat="false" ht="15" hidden="false" customHeight="false" outlineLevel="0" collapsed="false">
      <c r="A8" s="21" t="n">
        <v>1970</v>
      </c>
      <c r="B8" s="21" t="s">
        <v>141</v>
      </c>
      <c r="C8" s="21" t="s">
        <v>267</v>
      </c>
    </row>
    <row r="9" customFormat="false" ht="15" hidden="false" customHeight="false" outlineLevel="0" collapsed="false">
      <c r="A9" s="21" t="n">
        <v>1995</v>
      </c>
      <c r="B9" s="21" t="s">
        <v>256</v>
      </c>
      <c r="C9" s="21" t="s">
        <v>268</v>
      </c>
    </row>
    <row r="10" customFormat="false" ht="15" hidden="false" customHeight="false" outlineLevel="0" collapsed="false">
      <c r="A10" s="21" t="n">
        <v>2005</v>
      </c>
      <c r="B10" s="21" t="s">
        <v>257</v>
      </c>
      <c r="C10" s="21" t="s">
        <v>269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33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B11" activeCellId="0" sqref="B11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21" width="7"/>
    <col collapsed="false" customWidth="true" hidden="false" outlineLevel="0" max="2" min="2" style="21" width="13.3"/>
    <col collapsed="false" customWidth="true" hidden="false" outlineLevel="0" max="3" min="3" style="21" width="20.14"/>
    <col collapsed="false" customWidth="true" hidden="false" outlineLevel="0" max="6" min="6" style="21" width="27.43"/>
    <col collapsed="false" customWidth="true" hidden="false" outlineLevel="0" max="9" min="9" style="21" width="14.7"/>
    <col collapsed="false" customWidth="true" hidden="false" outlineLevel="0" max="10" min="10" style="21" width="18.14"/>
    <col collapsed="false" customWidth="true" hidden="false" outlineLevel="0" max="11" min="11" style="21" width="18.86"/>
    <col collapsed="false" customWidth="true" hidden="false" outlineLevel="0" max="13" min="13" style="21" width="19.72"/>
    <col collapsed="false" customWidth="true" hidden="false" outlineLevel="0" max="14" min="14" style="21" width="27.28"/>
    <col collapsed="false" customWidth="true" hidden="false" outlineLevel="0" max="15" min="15" style="21" width="6.7"/>
  </cols>
  <sheetData>
    <row r="1" customFormat="false" ht="15" hidden="false" customHeight="false" outlineLevel="0" collapsed="false">
      <c r="A1" s="33" t="s">
        <v>270</v>
      </c>
      <c r="B1" s="33" t="s">
        <v>271</v>
      </c>
      <c r="C1" s="33" t="s">
        <v>272</v>
      </c>
      <c r="F1" s="33" t="s">
        <v>273</v>
      </c>
      <c r="G1" s="21" t="n">
        <v>15</v>
      </c>
      <c r="I1" s="33" t="s">
        <v>274</v>
      </c>
      <c r="J1" s="33" t="s">
        <v>275</v>
      </c>
      <c r="K1" s="33" t="s">
        <v>276</v>
      </c>
      <c r="M1" s="33" t="s">
        <v>277</v>
      </c>
      <c r="N1" s="33" t="s">
        <v>278</v>
      </c>
      <c r="O1" s="33" t="s">
        <v>13</v>
      </c>
    </row>
    <row r="2" customFormat="false" ht="15" hidden="false" customHeight="false" outlineLevel="0" collapsed="false">
      <c r="A2" s="21" t="n">
        <v>0</v>
      </c>
      <c r="B2" s="21" t="s">
        <v>211</v>
      </c>
      <c r="F2" s="33" t="s">
        <v>279</v>
      </c>
      <c r="G2" s="21" t="n">
        <v>5</v>
      </c>
      <c r="I2" s="21" t="s">
        <v>90</v>
      </c>
      <c r="J2" s="21" t="n">
        <v>1</v>
      </c>
      <c r="K2" s="21" t="n">
        <v>2</v>
      </c>
      <c r="M2" s="21" t="s">
        <v>143</v>
      </c>
      <c r="N2" s="21" t="str">
        <f aca="false">IF(O2&lt;&gt;"", _xlfn.CONCAT("{BLACK}Powered by: {GOLD}",O2), "")</f>
        <v>{BLACK}Powered by: {GOLD}Diesel</v>
      </c>
      <c r="O2" s="21" t="s">
        <v>280</v>
      </c>
    </row>
    <row r="3" customFormat="false" ht="15" hidden="false" customHeight="false" outlineLevel="0" collapsed="false">
      <c r="A3" s="21" t="n">
        <v>3</v>
      </c>
      <c r="B3" s="21" t="s">
        <v>107</v>
      </c>
      <c r="C3" s="21" t="s">
        <v>107</v>
      </c>
      <c r="I3" s="21" t="s">
        <v>118</v>
      </c>
      <c r="J3" s="21" t="n">
        <v>0.85</v>
      </c>
      <c r="K3" s="21" t="n">
        <v>2.3</v>
      </c>
      <c r="M3" s="21" t="s">
        <v>281</v>
      </c>
      <c r="N3" s="21" t="str">
        <f aca="false">IF(O3&lt;&gt;"", _xlfn.CONCAT("{BLACK}Powered by: {GOLD}",O3), "")</f>
        <v>{BLACK}Powered by: {GOLD}Steam</v>
      </c>
      <c r="O3" s="21" t="s">
        <v>282</v>
      </c>
    </row>
    <row r="4" customFormat="false" ht="15" hidden="false" customHeight="false" outlineLevel="0" collapsed="false">
      <c r="A4" s="21" t="n">
        <v>4</v>
      </c>
      <c r="B4" s="21" t="s">
        <v>283</v>
      </c>
      <c r="C4" s="21" t="s">
        <v>283</v>
      </c>
      <c r="I4" s="21" t="s">
        <v>284</v>
      </c>
      <c r="J4" s="21" t="n">
        <v>1.15</v>
      </c>
      <c r="K4" s="21" t="n">
        <v>1.7</v>
      </c>
      <c r="M4" s="21" t="s">
        <v>285</v>
      </c>
      <c r="N4" s="21" t="str">
        <f aca="false">IF(O4&lt;&gt;"", _xlfn.CONCAT("{BLACK}Powered by: {GOLD}",O4), "")</f>
        <v>{BLACK}Powered by: {GOLD}25kV AC</v>
      </c>
      <c r="O4" s="21" t="s">
        <v>286</v>
      </c>
    </row>
    <row r="5" customFormat="false" ht="15" hidden="false" customHeight="false" outlineLevel="0" collapsed="false">
      <c r="A5" s="21" t="n">
        <v>5</v>
      </c>
      <c r="B5" s="21" t="s">
        <v>287</v>
      </c>
      <c r="C5" s="21" t="s">
        <v>287</v>
      </c>
      <c r="I5" s="21" t="s">
        <v>129</v>
      </c>
      <c r="J5" s="21" t="n">
        <v>0.9</v>
      </c>
      <c r="K5" s="21" t="n">
        <v>2.5</v>
      </c>
      <c r="M5" s="21" t="s">
        <v>288</v>
      </c>
      <c r="N5" s="21" t="str">
        <f aca="false">IF(O5&lt;&gt;"", _xlfn.CONCAT("{BLACK}Powered by: {GOLD}",O5), "")</f>
        <v>{BLACK}Powered by: {GOLD}750V DC</v>
      </c>
      <c r="O5" s="21" t="s">
        <v>289</v>
      </c>
    </row>
    <row r="6" customFormat="false" ht="15" hidden="false" customHeight="false" outlineLevel="0" collapsed="false">
      <c r="A6" s="21" t="n">
        <v>6</v>
      </c>
      <c r="B6" s="21" t="s">
        <v>290</v>
      </c>
      <c r="C6" s="21" t="s">
        <v>290</v>
      </c>
      <c r="I6" s="21" t="s">
        <v>291</v>
      </c>
      <c r="J6" s="21" t="n">
        <v>0.85</v>
      </c>
      <c r="K6" s="21" t="n">
        <v>2.4</v>
      </c>
      <c r="M6" s="21" t="s">
        <v>292</v>
      </c>
      <c r="N6" s="21" t="str">
        <f aca="false">IF(O6&lt;&gt;"", _xlfn.CONCAT("{BLACK}Powered by: {GOLD}",O6), "")</f>
        <v/>
      </c>
    </row>
    <row r="7" customFormat="false" ht="15" hidden="false" customHeight="false" outlineLevel="0" collapsed="false">
      <c r="A7" s="21" t="n">
        <v>7</v>
      </c>
      <c r="B7" s="21" t="s">
        <v>293</v>
      </c>
      <c r="C7" s="21" t="s">
        <v>293</v>
      </c>
      <c r="I7" s="21" t="s">
        <v>228</v>
      </c>
      <c r="J7" s="21" t="n">
        <v>1.2</v>
      </c>
      <c r="K7" s="21" t="n">
        <v>0.6</v>
      </c>
      <c r="M7" s="21" t="s">
        <v>294</v>
      </c>
      <c r="N7" s="21" t="str">
        <f aca="false">IF(O7&lt;&gt;"", _xlfn.CONCAT("{BLACK}Powered by: {GOLD}",O7), "")</f>
        <v/>
      </c>
    </row>
    <row r="8" customFormat="false" ht="15" hidden="false" customHeight="false" outlineLevel="0" collapsed="false">
      <c r="A8" s="21" t="n">
        <v>8</v>
      </c>
      <c r="B8" s="21" t="s">
        <v>295</v>
      </c>
      <c r="C8" s="21" t="s">
        <v>295</v>
      </c>
      <c r="I8" s="21" t="s">
        <v>225</v>
      </c>
      <c r="J8" s="21" t="n">
        <v>1.5</v>
      </c>
      <c r="K8" s="21" t="n">
        <v>0.7</v>
      </c>
      <c r="M8" s="21" t="s">
        <v>296</v>
      </c>
      <c r="N8" s="21" t="str">
        <f aca="false">IF(O8&lt;&gt;"", _xlfn.CONCAT("{BLACK}Powered by: {GOLD}",O8), "")</f>
        <v/>
      </c>
    </row>
    <row r="9" customFormat="false" ht="15" hidden="false" customHeight="false" outlineLevel="0" collapsed="false">
      <c r="A9" s="21" t="n">
        <v>9</v>
      </c>
      <c r="B9" s="21" t="s">
        <v>297</v>
      </c>
      <c r="C9" s="21" t="s">
        <v>297</v>
      </c>
      <c r="I9" s="21" t="s">
        <v>200</v>
      </c>
      <c r="J9" s="21" t="n">
        <v>1</v>
      </c>
      <c r="K9" s="21" t="n">
        <v>0.45</v>
      </c>
      <c r="M9" s="21" t="s">
        <v>298</v>
      </c>
      <c r="N9" s="21" t="str">
        <f aca="false">IF(O9&lt;&gt;"", _xlfn.CONCAT("{BLACK}Powered by: {GOLD}",O9), "")</f>
        <v/>
      </c>
    </row>
    <row r="10" customFormat="false" ht="15" hidden="false" customHeight="false" outlineLevel="0" collapsed="false">
      <c r="A10" s="21" t="n">
        <v>10</v>
      </c>
      <c r="B10" s="21" t="s">
        <v>299</v>
      </c>
      <c r="C10" s="21" t="s">
        <v>299</v>
      </c>
      <c r="I10" s="21" t="s">
        <v>300</v>
      </c>
      <c r="J10" s="21" t="n">
        <v>1</v>
      </c>
      <c r="K10" s="21" t="n">
        <v>0.4</v>
      </c>
      <c r="M10" s="21" t="s">
        <v>301</v>
      </c>
      <c r="N10" s="21" t="str">
        <f aca="false">IF(O10&lt;&gt;"", _xlfn.CONCAT("{BLACK}Powered by: {GOLD}",O10), "")</f>
        <v>{BLACK}Powered by: {GOLD}Steam</v>
      </c>
      <c r="O10" s="21" t="s">
        <v>282</v>
      </c>
    </row>
    <row r="11" customFormat="false" ht="15" hidden="false" customHeight="false" outlineLevel="0" collapsed="false">
      <c r="A11" s="21" t="n">
        <v>11</v>
      </c>
      <c r="B11" s="21" t="s">
        <v>302</v>
      </c>
      <c r="C11" s="21" t="s">
        <v>302</v>
      </c>
      <c r="I11" s="21" t="s">
        <v>303</v>
      </c>
      <c r="J11" s="21" t="n">
        <v>0.9</v>
      </c>
      <c r="K11" s="21" t="n">
        <v>1.6</v>
      </c>
      <c r="M11" s="21" t="s">
        <v>304</v>
      </c>
      <c r="N11" s="21" t="str">
        <f aca="false">IF(O11&lt;&gt;"", _xlfn.CONCAT("{BLACK}Powered by: {GOLD}",O11), "")</f>
        <v>{BLACK}Powered by: {GOLD}750V DC / Diesel</v>
      </c>
      <c r="O11" s="21" t="s">
        <v>305</v>
      </c>
    </row>
    <row r="12" customFormat="false" ht="15" hidden="false" customHeight="false" outlineLevel="0" collapsed="false">
      <c r="A12" s="21" t="n">
        <v>12</v>
      </c>
      <c r="B12" s="21" t="s">
        <v>306</v>
      </c>
      <c r="C12" s="21" t="s">
        <v>306</v>
      </c>
      <c r="I12" s="21" t="s">
        <v>38</v>
      </c>
      <c r="J12" s="21" t="n">
        <v>0</v>
      </c>
      <c r="K12" s="21" t="n">
        <v>0</v>
      </c>
      <c r="M12" s="21" t="s">
        <v>307</v>
      </c>
      <c r="N12" s="21" t="str">
        <f aca="false">IF(O12&lt;&gt;"", _xlfn.CONCAT("{BLACK}Powered by: {GOLD}",O12), "")</f>
        <v>{BLACK}Powered by: {GOLD}25kV AC / 750V DC</v>
      </c>
      <c r="O12" s="21" t="s">
        <v>308</v>
      </c>
    </row>
    <row r="13" customFormat="false" ht="15" hidden="false" customHeight="false" outlineLevel="0" collapsed="false">
      <c r="A13" s="21" t="n">
        <v>13</v>
      </c>
      <c r="B13" s="21" t="s">
        <v>309</v>
      </c>
      <c r="C13" s="21" t="s">
        <v>309</v>
      </c>
      <c r="I13" s="21" t="s">
        <v>310</v>
      </c>
      <c r="J13" s="21" t="n">
        <v>1.05</v>
      </c>
      <c r="K13" s="21" t="n">
        <v>1.9</v>
      </c>
      <c r="M13" s="21" t="s">
        <v>311</v>
      </c>
      <c r="N13" s="21" t="str">
        <f aca="false">IF(O13&lt;&gt;"", _xlfn.CONCAT("{BLACK}Powered by: {GOLD}",O13), "")</f>
        <v/>
      </c>
    </row>
    <row r="14" customFormat="false" ht="15" hidden="false" customHeight="false" outlineLevel="0" collapsed="false">
      <c r="A14" s="21" t="n">
        <v>14</v>
      </c>
      <c r="B14" s="21" t="s">
        <v>312</v>
      </c>
      <c r="C14" s="21" t="s">
        <v>312</v>
      </c>
      <c r="I14" s="21" t="s">
        <v>313</v>
      </c>
      <c r="J14" s="21" t="n">
        <v>0.98</v>
      </c>
      <c r="K14" s="21" t="n">
        <v>1.88</v>
      </c>
      <c r="M14" s="21" t="s">
        <v>314</v>
      </c>
      <c r="N14" s="21" t="str">
        <f aca="false">IF(O14&lt;&gt;"", _xlfn.CONCAT("{BLACK}Powered by: {GOLD}",O14), "")</f>
        <v/>
      </c>
    </row>
    <row r="15" customFormat="false" ht="15" hidden="false" customHeight="false" outlineLevel="0" collapsed="false">
      <c r="A15" s="21" t="n">
        <v>15</v>
      </c>
      <c r="B15" s="21" t="s">
        <v>315</v>
      </c>
      <c r="C15" s="21" t="s">
        <v>315</v>
      </c>
      <c r="I15" s="21" t="s">
        <v>316</v>
      </c>
      <c r="J15" s="21" t="n">
        <v>0.5</v>
      </c>
      <c r="K15" s="21" t="n">
        <v>0.5</v>
      </c>
      <c r="M15" s="21" t="s">
        <v>317</v>
      </c>
      <c r="N15" s="21" t="str">
        <f aca="false">IF(O15&lt;&gt;"", _xlfn.CONCAT("{BLACK}Powered by: {GOLD}",O15), "")</f>
        <v/>
      </c>
    </row>
    <row r="16" customFormat="false" ht="15" hidden="false" customHeight="false" outlineLevel="0" collapsed="false">
      <c r="A16" s="21" t="n">
        <v>16</v>
      </c>
      <c r="B16" s="21" t="s">
        <v>318</v>
      </c>
      <c r="C16" s="21" t="s">
        <v>318</v>
      </c>
      <c r="I16" s="21" t="s">
        <v>148</v>
      </c>
      <c r="J16" s="21" t="n">
        <v>0.85</v>
      </c>
      <c r="K16" s="21" t="n">
        <v>2.3</v>
      </c>
      <c r="M16" s="21" t="s">
        <v>319</v>
      </c>
      <c r="N16" s="21" t="str">
        <f aca="false">IF(O16&lt;&gt;"", _xlfn.CONCAT("{BLACK}Powered by: {GOLD}",O16), "")</f>
        <v>{BLACK}Powered by: {GOLD}Petrol</v>
      </c>
      <c r="O16" s="21" t="s">
        <v>320</v>
      </c>
    </row>
    <row r="17" customFormat="false" ht="15" hidden="false" customHeight="false" outlineLevel="0" collapsed="false">
      <c r="I17" s="21" t="s">
        <v>321</v>
      </c>
      <c r="J17" s="21" t="n">
        <v>1</v>
      </c>
      <c r="K17" s="21" t="n">
        <v>2</v>
      </c>
      <c r="M17" s="21" t="s">
        <v>322</v>
      </c>
      <c r="N17" s="21" t="str">
        <f aca="false">IF(O17&lt;&gt;"", _xlfn.CONCAT("{BLACK}Powered by: {GOLD}",O17), "")</f>
        <v>{BLACK}Powered by: {GOLD}25kV AC / Diesel</v>
      </c>
      <c r="O17" s="21" t="s">
        <v>323</v>
      </c>
    </row>
    <row r="18" customFormat="false" ht="15" hidden="false" customHeight="false" outlineLevel="0" collapsed="false">
      <c r="I18" s="21" t="s">
        <v>324</v>
      </c>
      <c r="J18" s="21" t="n">
        <v>0.8</v>
      </c>
      <c r="K18" s="21" t="n">
        <v>2.3</v>
      </c>
      <c r="M18" s="21" t="s">
        <v>325</v>
      </c>
      <c r="N18" s="21" t="str">
        <f aca="false">IF(O18&lt;&gt;"", _xlfn.CONCAT("{BLACK}Powered by: {GOLD}",O18), "")</f>
        <v>{BLACK}Powered by: {GOLD}LPG / Flywheel</v>
      </c>
      <c r="O18" s="21" t="s">
        <v>326</v>
      </c>
    </row>
    <row r="19" customFormat="false" ht="15" hidden="false" customHeight="false" outlineLevel="0" collapsed="false">
      <c r="M19" s="21" t="s">
        <v>327</v>
      </c>
      <c r="N19" s="21" t="str">
        <f aca="false">IF(O19&lt;&gt;"", _xlfn.CONCAT("{BLACK}Powered by: {GOLD}",O19), "")</f>
        <v/>
      </c>
    </row>
    <row r="20" customFormat="false" ht="15" hidden="false" customHeight="false" outlineLevel="0" collapsed="false">
      <c r="M20" s="21" t="s">
        <v>328</v>
      </c>
      <c r="N20" s="21" t="str">
        <f aca="false">IF(O20&lt;&gt;"", _xlfn.CONCAT("{BLACK}Powered by: {GOLD}",O20), "")</f>
        <v>{BLACK}Powered by: {GOLD}Steam</v>
      </c>
      <c r="O20" s="21" t="s">
        <v>282</v>
      </c>
    </row>
    <row r="21" customFormat="false" ht="15" hidden="false" customHeight="false" outlineLevel="0" collapsed="false">
      <c r="M21" s="21" t="s">
        <v>329</v>
      </c>
      <c r="N21" s="21" t="str">
        <f aca="false">IF(O21&lt;&gt;"", _xlfn.CONCAT("{BLACK}Powered by: {GOLD}",O21), "")</f>
        <v/>
      </c>
    </row>
    <row r="22" customFormat="false" ht="15" hidden="false" customHeight="false" outlineLevel="0" collapsed="false">
      <c r="M22" s="21" t="s">
        <v>330</v>
      </c>
      <c r="N22" s="21" t="str">
        <f aca="false">IF(O22&lt;&gt;"", _xlfn.CONCAT("{BLACK}Powered by: {GOLD}",O22), "")</f>
        <v>{BLACK}Powered by: {GOLD}Grass and hay</v>
      </c>
      <c r="O22" s="21" t="s">
        <v>331</v>
      </c>
    </row>
    <row r="23" customFormat="false" ht="15" hidden="false" customHeight="false" outlineLevel="0" collapsed="false">
      <c r="M23" s="21" t="s">
        <v>332</v>
      </c>
      <c r="N23" s="21" t="str">
        <f aca="false">IF(O23&lt;&gt;"", _xlfn.CONCAT("{BLACK}Powered by: {GOLD}",O23), "")</f>
        <v>{BLACK}Powered by: {GOLD}630V DC</v>
      </c>
      <c r="O23" s="21" t="s">
        <v>333</v>
      </c>
    </row>
    <row r="24" customFormat="false" ht="15" hidden="false" customHeight="false" outlineLevel="0" collapsed="false">
      <c r="M24" s="21" t="s">
        <v>334</v>
      </c>
      <c r="N24" s="21" t="str">
        <f aca="false">IF(O24&lt;&gt;"", _xlfn.CONCAT("{BLACK}Powered by: {GOLD}",O24), "")</f>
        <v/>
      </c>
    </row>
    <row r="25" customFormat="false" ht="15" hidden="false" customHeight="false" outlineLevel="0" collapsed="false">
      <c r="M25" s="21" t="s">
        <v>335</v>
      </c>
      <c r="N25" s="21" t="str">
        <f aca="false">IF(O25&lt;&gt;"", _xlfn.CONCAT("{BLACK}Powered by: {GOLD}",O25), "")</f>
        <v/>
      </c>
    </row>
    <row r="26" customFormat="false" ht="15" hidden="false" customHeight="false" outlineLevel="0" collapsed="false">
      <c r="M26" s="21" t="s">
        <v>336</v>
      </c>
      <c r="N26" s="21" t="str">
        <f aca="false">IF(O26&lt;&gt;"", _xlfn.CONCAT("{BLACK}Powered by: {GOLD}",O26), "")</f>
        <v>{BLACK}Powered by: {GOLD}Grass and hay</v>
      </c>
      <c r="O26" s="21" t="s">
        <v>331</v>
      </c>
    </row>
    <row r="27" customFormat="false" ht="15" hidden="false" customHeight="false" outlineLevel="0" collapsed="false">
      <c r="M27" s="21" t="s">
        <v>337</v>
      </c>
      <c r="N27" s="21" t="str">
        <f aca="false">IF(O27&lt;&gt;"", _xlfn.CONCAT("{BLACK}Powered by: {GOLD}",O27), "")</f>
        <v/>
      </c>
    </row>
    <row r="28" customFormat="false" ht="15" hidden="false" customHeight="false" outlineLevel="0" collapsed="false">
      <c r="M28" s="21" t="s">
        <v>338</v>
      </c>
      <c r="N28" s="21" t="str">
        <f aca="false">IF(O28&lt;&gt;"", _xlfn.CONCAT("{BLACK}Powered by: {GOLD}",O28), "")</f>
        <v>{BLACK}Powered by: {GOLD}Diesel</v>
      </c>
      <c r="O28" s="21" t="s">
        <v>280</v>
      </c>
    </row>
    <row r="29" customFormat="false" ht="15" hidden="false" customHeight="false" outlineLevel="0" collapsed="false">
      <c r="M29" s="21" t="s">
        <v>339</v>
      </c>
      <c r="N29" s="21" t="str">
        <f aca="false">IF(O29&lt;&gt;"", _xlfn.CONCAT("{BLACK}Powered by: {GOLD}",O29), "")</f>
        <v/>
      </c>
      <c r="O29" s="21" t="str">
        <f aca="false">IF(P29&lt;&gt;"", _xlfn.CONCAT("{BLACK}Powered by: {GOLD}",P29), "")</f>
        <v/>
      </c>
    </row>
    <row r="30" customFormat="false" ht="15" hidden="false" customHeight="false" outlineLevel="0" collapsed="false">
      <c r="M30" s="21" t="s">
        <v>340</v>
      </c>
      <c r="N30" s="21" t="str">
        <f aca="false">IF(O30&lt;&gt;"", _xlfn.CONCAT("{BLACK}Powered by: {GOLD}",O30), "")</f>
        <v>{BLACK}Powered by: {GOLD}Gas Turbine</v>
      </c>
      <c r="O30" s="21" t="s">
        <v>341</v>
      </c>
    </row>
    <row r="31" customFormat="false" ht="15" hidden="false" customHeight="false" outlineLevel="0" collapsed="false">
      <c r="M31" s="21" t="s">
        <v>342</v>
      </c>
      <c r="N31" s="21" t="str">
        <f aca="false">IF(O31&lt;&gt;"", _xlfn.CONCAT("{BLACK}Powered by: {GOLD}",O31), "")</f>
        <v>{BLACK}Powered by: {GOLD}Petrol</v>
      </c>
      <c r="O31" s="21" t="s">
        <v>320</v>
      </c>
    </row>
    <row r="32" customFormat="false" ht="15" hidden="false" customHeight="false" outlineLevel="0" collapsed="false">
      <c r="M32" s="21" t="s">
        <v>343</v>
      </c>
      <c r="N32" s="21" t="str">
        <f aca="false">IF(O32&lt;&gt;"", _xlfn.CONCAT("{BLACK}Powered by: {GOLD}",O32), "")</f>
        <v/>
      </c>
    </row>
    <row r="33" customFormat="false" ht="15" hidden="false" customHeight="false" outlineLevel="0" collapsed="false">
      <c r="M33" s="21" t="s">
        <v>344</v>
      </c>
      <c r="N33" s="21" t="str">
        <f aca="false">IF(O33&lt;&gt;"", _xlfn.CONCAT("{BLACK}Powered by: {GOLD}",O33), "")</f>
        <v>{BLACK}Powered by: {GOLD}750V DC / Battery</v>
      </c>
      <c r="O33" s="21" t="s">
        <v>345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8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B7" activeCellId="0" sqref="B7"/>
    </sheetView>
  </sheetViews>
  <sheetFormatPr defaultColWidth="8.59765625" defaultRowHeight="15" customHeight="true" zeroHeight="false" outlineLevelRow="0" outlineLevelCol="0"/>
  <cols>
    <col collapsed="false" customWidth="true" hidden="false" outlineLevel="0" max="2" min="1" style="21" width="10.71"/>
    <col collapsed="false" customWidth="true" hidden="false" outlineLevel="0" max="4" min="3" style="21" width="21.43"/>
  </cols>
  <sheetData>
    <row r="1" customFormat="false" ht="15" hidden="false" customHeight="false" outlineLevel="0" collapsed="false">
      <c r="A1" s="33" t="s">
        <v>346</v>
      </c>
      <c r="B1" s="33" t="s">
        <v>347</v>
      </c>
      <c r="C1" s="33" t="s">
        <v>348</v>
      </c>
      <c r="D1" s="33" t="s">
        <v>349</v>
      </c>
    </row>
    <row r="2" customFormat="false" ht="15" hidden="false" customHeight="false" outlineLevel="0" collapsed="false">
      <c r="A2" s="21" t="n">
        <v>0</v>
      </c>
      <c r="B2" s="21" t="n">
        <f aca="false">IF(D2,D2,C2)</f>
        <v>0</v>
      </c>
      <c r="C2" s="21" t="n">
        <f aca="false">INT(A2*(256/15))</f>
        <v>0</v>
      </c>
      <c r="D2" s="33"/>
    </row>
    <row r="3" customFormat="false" ht="15" hidden="false" customHeight="false" outlineLevel="0" collapsed="false">
      <c r="A3" s="21" t="n">
        <v>1</v>
      </c>
      <c r="B3" s="21" t="n">
        <f aca="false">IF(D3,D3,C3)</f>
        <v>17</v>
      </c>
      <c r="C3" s="21" t="n">
        <f aca="false">INT(A3*(256/15))</f>
        <v>17</v>
      </c>
    </row>
    <row r="4" customFormat="false" ht="15" hidden="false" customHeight="false" outlineLevel="0" collapsed="false">
      <c r="A4" s="21" t="n">
        <v>2</v>
      </c>
      <c r="B4" s="21" t="n">
        <f aca="false">IF(D4,D4,C4)</f>
        <v>34</v>
      </c>
      <c r="C4" s="21" t="n">
        <f aca="false">INT(A4*(256/15))</f>
        <v>34</v>
      </c>
    </row>
    <row r="5" customFormat="false" ht="15" hidden="false" customHeight="false" outlineLevel="0" collapsed="false">
      <c r="A5" s="21" t="n">
        <v>3</v>
      </c>
      <c r="B5" s="21" t="n">
        <f aca="false">IF(D5,D5,C5)</f>
        <v>51</v>
      </c>
      <c r="C5" s="21" t="n">
        <f aca="false">INT(A5*(256/15))</f>
        <v>51</v>
      </c>
    </row>
    <row r="6" customFormat="false" ht="15" hidden="false" customHeight="false" outlineLevel="0" collapsed="false">
      <c r="A6" s="21" t="n">
        <v>4</v>
      </c>
      <c r="B6" s="21" t="n">
        <f aca="false">IF(D6,D6,C6)</f>
        <v>66</v>
      </c>
      <c r="C6" s="21" t="n">
        <f aca="false">INT(A6*(256/15))</f>
        <v>68</v>
      </c>
      <c r="D6" s="21" t="n">
        <v>66</v>
      </c>
    </row>
    <row r="7" customFormat="false" ht="15" hidden="false" customHeight="false" outlineLevel="0" collapsed="false">
      <c r="A7" s="21" t="n">
        <v>5</v>
      </c>
      <c r="B7" s="21" t="n">
        <f aca="false">IF(D7,D7,C7)</f>
        <v>82</v>
      </c>
      <c r="C7" s="21" t="n">
        <f aca="false">INT(A7*(256/15))</f>
        <v>85</v>
      </c>
      <c r="D7" s="21" t="n">
        <v>82</v>
      </c>
    </row>
    <row r="8" customFormat="false" ht="15" hidden="false" customHeight="false" outlineLevel="0" collapsed="false">
      <c r="A8" s="21" t="n">
        <v>6</v>
      </c>
      <c r="B8" s="21" t="n">
        <f aca="false">IF(D8,D8,C8)</f>
        <v>102</v>
      </c>
      <c r="C8" s="21" t="n">
        <f aca="false">INT(A8*(256/15))</f>
        <v>102</v>
      </c>
      <c r="D8" s="21" t="n">
        <v>102</v>
      </c>
    </row>
    <row r="9" customFormat="false" ht="15" hidden="false" customHeight="false" outlineLevel="0" collapsed="false">
      <c r="A9" s="21" t="n">
        <v>7</v>
      </c>
      <c r="B9" s="21" t="n">
        <f aca="false">IF(D9,D9,C9)</f>
        <v>120</v>
      </c>
      <c r="C9" s="21" t="n">
        <f aca="false">INT(A9*(256/15))</f>
        <v>119</v>
      </c>
      <c r="D9" s="21" t="n">
        <v>120</v>
      </c>
    </row>
    <row r="10" customFormat="false" ht="15" hidden="false" customHeight="false" outlineLevel="0" collapsed="false">
      <c r="A10" s="21" t="n">
        <v>8</v>
      </c>
      <c r="B10" s="21" t="n">
        <f aca="false">IF(D10,D10,C10)</f>
        <v>136</v>
      </c>
      <c r="C10" s="21" t="n">
        <f aca="false">INT(A10*(256/15))</f>
        <v>136</v>
      </c>
      <c r="D10" s="21" t="n">
        <v>136</v>
      </c>
    </row>
    <row r="11" customFormat="false" ht="15" hidden="false" customHeight="false" outlineLevel="0" collapsed="false">
      <c r="A11" s="21" t="n">
        <v>9</v>
      </c>
      <c r="B11" s="21" t="n">
        <f aca="false">IF(D11,D11,C11)</f>
        <v>152</v>
      </c>
      <c r="C11" s="21" t="n">
        <f aca="false">INT(A11*(256/15))</f>
        <v>153</v>
      </c>
      <c r="D11" s="21" t="n">
        <v>152</v>
      </c>
    </row>
    <row r="12" customFormat="false" ht="15" hidden="false" customHeight="false" outlineLevel="0" collapsed="false">
      <c r="A12" s="21" t="n">
        <v>10</v>
      </c>
      <c r="B12" s="21" t="n">
        <f aca="false">IF(D12,D12,C12)</f>
        <v>164</v>
      </c>
      <c r="C12" s="21" t="n">
        <f aca="false">INT(A12*(256/15))</f>
        <v>170</v>
      </c>
      <c r="D12" s="21" t="n">
        <v>164</v>
      </c>
    </row>
    <row r="13" customFormat="false" ht="15" hidden="false" customHeight="false" outlineLevel="0" collapsed="false">
      <c r="A13" s="21" t="n">
        <v>11</v>
      </c>
      <c r="B13" s="21" t="n">
        <f aca="false">IF(D13,D13,C13)</f>
        <v>186</v>
      </c>
      <c r="C13" s="21" t="n">
        <f aca="false">INT(A13*(256/15))</f>
        <v>187</v>
      </c>
      <c r="D13" s="21" t="n">
        <v>186</v>
      </c>
    </row>
    <row r="14" customFormat="false" ht="15" hidden="false" customHeight="false" outlineLevel="0" collapsed="false">
      <c r="A14" s="21" t="n">
        <v>12</v>
      </c>
      <c r="B14" s="21" t="n">
        <f aca="false">IF(D14,D14,C14)</f>
        <v>198</v>
      </c>
      <c r="C14" s="21" t="n">
        <f aca="false">INT(A14*(256/15))</f>
        <v>204</v>
      </c>
      <c r="D14" s="21" t="n">
        <v>198</v>
      </c>
    </row>
    <row r="15" customFormat="false" ht="15" hidden="false" customHeight="false" outlineLevel="0" collapsed="false">
      <c r="A15" s="21" t="n">
        <v>13</v>
      </c>
      <c r="B15" s="21" t="n">
        <v>214</v>
      </c>
      <c r="C15" s="21" t="n">
        <f aca="false">INT(A15*(256/15))</f>
        <v>221</v>
      </c>
    </row>
    <row r="16" customFormat="false" ht="15" hidden="false" customHeight="false" outlineLevel="0" collapsed="false">
      <c r="A16" s="21" t="n">
        <v>14</v>
      </c>
      <c r="B16" s="21" t="n">
        <f aca="false">IF(D16,D16,C16)</f>
        <v>238</v>
      </c>
      <c r="C16" s="21" t="n">
        <f aca="false">INT(A16*(256/15))</f>
        <v>238</v>
      </c>
    </row>
    <row r="17" customFormat="false" ht="15" hidden="false" customHeight="false" outlineLevel="0" collapsed="false">
      <c r="A17" s="21" t="n">
        <v>15</v>
      </c>
      <c r="B17" s="21" t="n">
        <f aca="false">IF(D17,D17,C17)</f>
        <v>256</v>
      </c>
      <c r="C17" s="21" t="n">
        <f aca="false">INT(A17*(256/15))</f>
        <v>256</v>
      </c>
    </row>
    <row r="18" customFormat="false" ht="15" hidden="false" customHeight="false" outlineLevel="0" collapsed="false">
      <c r="A18" s="21" t="n">
        <v>16</v>
      </c>
      <c r="B18" s="21" t="n">
        <f aca="false">IF(D18,D18,C18)</f>
        <v>273</v>
      </c>
      <c r="C18" s="21" t="n">
        <f aca="false">INT(A18*(256/15))</f>
        <v>273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52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B15" activeCellId="0" sqref="B15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21" width="11.43"/>
    <col collapsed="false" customWidth="true" hidden="false" outlineLevel="0" max="3" min="3" style="21" width="12"/>
    <col collapsed="false" customWidth="true" hidden="false" outlineLevel="0" max="9" min="8" style="21" width="10.57"/>
    <col collapsed="false" customWidth="true" hidden="false" outlineLevel="0" max="10" min="10" style="21" width="11.28"/>
  </cols>
  <sheetData>
    <row r="1" customFormat="false" ht="15" hidden="false" customHeight="false" outlineLevel="0" collapsed="false">
      <c r="B1" s="21" t="n">
        <v>1</v>
      </c>
      <c r="C1" s="21" t="n">
        <v>2</v>
      </c>
      <c r="D1" s="21" t="n">
        <v>3</v>
      </c>
      <c r="E1" s="21" t="n">
        <v>4</v>
      </c>
      <c r="F1" s="21" t="n">
        <v>5</v>
      </c>
      <c r="G1" s="21" t="n">
        <v>6</v>
      </c>
      <c r="H1" s="21" t="n">
        <v>7</v>
      </c>
      <c r="I1" s="21" t="n">
        <v>8</v>
      </c>
      <c r="J1" s="21" t="n">
        <v>9</v>
      </c>
      <c r="K1" s="21" t="n">
        <v>10</v>
      </c>
      <c r="L1" s="21" t="n">
        <v>11</v>
      </c>
      <c r="M1" s="21" t="n">
        <v>12</v>
      </c>
      <c r="N1" s="21" t="n">
        <v>13</v>
      </c>
      <c r="O1" s="21" t="n">
        <v>14</v>
      </c>
      <c r="P1" s="21" t="n">
        <v>15</v>
      </c>
      <c r="Q1" s="21" t="n">
        <v>16</v>
      </c>
      <c r="R1" s="21" t="n">
        <v>17</v>
      </c>
      <c r="S1" s="21" t="n">
        <v>18</v>
      </c>
      <c r="T1" s="21" t="n">
        <v>19</v>
      </c>
      <c r="U1" s="21" t="n">
        <v>20</v>
      </c>
    </row>
    <row r="2" customFormat="false" ht="15" hidden="false" customHeight="false" outlineLevel="0" collapsed="false">
      <c r="B2" s="21" t="s">
        <v>350</v>
      </c>
    </row>
    <row r="3" customFormat="false" ht="15" hidden="false" customHeight="false" outlineLevel="0" collapsed="false">
      <c r="A3" s="21" t="s">
        <v>351</v>
      </c>
      <c r="B3" s="21" t="s">
        <v>151</v>
      </c>
      <c r="C3" s="21" t="s">
        <v>352</v>
      </c>
      <c r="D3" s="21" t="s">
        <v>352</v>
      </c>
      <c r="E3" s="21" t="s">
        <v>352</v>
      </c>
      <c r="F3" s="21" t="s">
        <v>352</v>
      </c>
      <c r="G3" s="21" t="s">
        <v>353</v>
      </c>
      <c r="H3" s="21" t="s">
        <v>170</v>
      </c>
      <c r="I3" s="21" t="s">
        <v>170</v>
      </c>
      <c r="J3" s="21" t="s">
        <v>187</v>
      </c>
      <c r="K3" s="21" t="s">
        <v>352</v>
      </c>
      <c r="L3" s="21" t="s">
        <v>352</v>
      </c>
      <c r="M3" s="21" t="s">
        <v>352</v>
      </c>
      <c r="N3" s="21" t="s">
        <v>352</v>
      </c>
      <c r="O3" s="21" t="s">
        <v>354</v>
      </c>
    </row>
    <row r="4" customFormat="false" ht="15" hidden="false" customHeight="false" outlineLevel="0" collapsed="false">
      <c r="A4" s="21" t="s">
        <v>355</v>
      </c>
      <c r="B4" s="21" t="n">
        <v>1</v>
      </c>
      <c r="C4" s="21" t="n">
        <v>1</v>
      </c>
      <c r="D4" s="21" t="n">
        <v>0</v>
      </c>
      <c r="E4" s="21" t="n">
        <v>0</v>
      </c>
      <c r="F4" s="21" t="n">
        <v>0</v>
      </c>
      <c r="G4" s="21" t="n">
        <v>1</v>
      </c>
      <c r="H4" s="21" t="n">
        <v>1</v>
      </c>
      <c r="I4" s="21" t="n">
        <v>0</v>
      </c>
      <c r="J4" s="21" t="n">
        <v>1</v>
      </c>
      <c r="K4" s="21" t="n">
        <v>0</v>
      </c>
      <c r="L4" s="21" t="n">
        <v>0</v>
      </c>
      <c r="M4" s="21" t="n">
        <v>0</v>
      </c>
      <c r="N4" s="21" t="n">
        <v>0</v>
      </c>
      <c r="O4" s="21" t="n">
        <v>1</v>
      </c>
    </row>
    <row r="6" customFormat="false" ht="14.25" hidden="false" customHeight="true" outlineLevel="0" collapsed="false">
      <c r="B6" s="21" t="s">
        <v>356</v>
      </c>
    </row>
    <row r="7" customFormat="false" ht="15" hidden="false" customHeight="false" outlineLevel="0" collapsed="false">
      <c r="A7" s="21" t="s">
        <v>351</v>
      </c>
      <c r="B7" s="21" t="s">
        <v>357</v>
      </c>
      <c r="C7" s="21" t="s">
        <v>358</v>
      </c>
      <c r="D7" s="21" t="s">
        <v>359</v>
      </c>
      <c r="E7" s="21" t="s">
        <v>359</v>
      </c>
      <c r="F7" s="21" t="s">
        <v>359</v>
      </c>
      <c r="G7" s="21" t="s">
        <v>359</v>
      </c>
      <c r="H7" s="21" t="s">
        <v>360</v>
      </c>
      <c r="I7" s="21" t="s">
        <v>359</v>
      </c>
      <c r="J7" s="21" t="s">
        <v>359</v>
      </c>
      <c r="K7" s="21" t="s">
        <v>359</v>
      </c>
      <c r="L7" s="21" t="s">
        <v>359</v>
      </c>
      <c r="M7" s="21" t="s">
        <v>359</v>
      </c>
      <c r="N7" s="21" t="s">
        <v>359</v>
      </c>
      <c r="O7" s="21" t="s">
        <v>360</v>
      </c>
      <c r="P7" s="21" t="s">
        <v>359</v>
      </c>
      <c r="Q7" s="21" t="s">
        <v>359</v>
      </c>
      <c r="R7" s="21" t="s">
        <v>359</v>
      </c>
      <c r="S7" s="21" t="s">
        <v>359</v>
      </c>
      <c r="T7" s="21" t="s">
        <v>361</v>
      </c>
      <c r="U7" s="21" t="s">
        <v>362</v>
      </c>
    </row>
    <row r="8" customFormat="false" ht="15" hidden="false" customHeight="false" outlineLevel="0" collapsed="false">
      <c r="A8" s="21" t="s">
        <v>355</v>
      </c>
      <c r="B8" s="21" t="n">
        <v>1</v>
      </c>
      <c r="C8" s="21" t="n">
        <v>1</v>
      </c>
      <c r="D8" s="21" t="n">
        <v>1</v>
      </c>
      <c r="E8" s="21" t="n">
        <v>0</v>
      </c>
      <c r="F8" s="21" t="n">
        <v>0</v>
      </c>
      <c r="G8" s="21" t="n">
        <v>0</v>
      </c>
      <c r="H8" s="21" t="n">
        <v>1</v>
      </c>
      <c r="I8" s="21" t="n">
        <v>0</v>
      </c>
      <c r="J8" s="21" t="n">
        <v>0</v>
      </c>
      <c r="K8" s="21" t="n">
        <v>0</v>
      </c>
      <c r="L8" s="21" t="n">
        <v>0</v>
      </c>
      <c r="M8" s="21" t="n">
        <v>0</v>
      </c>
      <c r="N8" s="21" t="n">
        <v>0</v>
      </c>
      <c r="O8" s="21" t="n">
        <v>0</v>
      </c>
      <c r="P8" s="21" t="n">
        <v>0</v>
      </c>
      <c r="Q8" s="21" t="n">
        <v>0</v>
      </c>
      <c r="R8" s="21" t="n">
        <v>0</v>
      </c>
      <c r="S8" s="21" t="n">
        <v>0</v>
      </c>
      <c r="T8" s="21" t="n">
        <v>1</v>
      </c>
      <c r="U8" s="21" t="n">
        <v>1</v>
      </c>
    </row>
    <row r="9" customFormat="false" ht="15" hidden="false" customHeight="false" outlineLevel="0" collapsed="false">
      <c r="A9" s="21" t="s">
        <v>270</v>
      </c>
      <c r="B9" s="21" t="n">
        <v>22.15</v>
      </c>
      <c r="C9" s="21" t="n">
        <v>21.84</v>
      </c>
      <c r="D9" s="21" t="n">
        <v>18.7</v>
      </c>
      <c r="E9" s="21" t="n">
        <v>18.7</v>
      </c>
      <c r="F9" s="21" t="n">
        <v>18.7</v>
      </c>
      <c r="G9" s="21" t="n">
        <v>18.7</v>
      </c>
      <c r="H9" s="21" t="n">
        <v>18.7</v>
      </c>
      <c r="I9" s="21" t="n">
        <v>18.7</v>
      </c>
      <c r="J9" s="21" t="n">
        <v>18.7</v>
      </c>
      <c r="K9" s="21" t="n">
        <v>18.7</v>
      </c>
      <c r="L9" s="21" t="n">
        <v>18.7</v>
      </c>
      <c r="M9" s="21" t="n">
        <v>18.7</v>
      </c>
      <c r="N9" s="21" t="n">
        <v>18.7</v>
      </c>
      <c r="O9" s="21" t="n">
        <v>18.7</v>
      </c>
      <c r="P9" s="21" t="n">
        <v>18.7</v>
      </c>
      <c r="Q9" s="21" t="n">
        <v>18.7</v>
      </c>
      <c r="R9" s="21" t="n">
        <v>18.7</v>
      </c>
      <c r="S9" s="21" t="n">
        <v>18.7</v>
      </c>
      <c r="T9" s="21" t="n">
        <v>21.84</v>
      </c>
      <c r="U9" s="21" t="n">
        <v>22.15</v>
      </c>
    </row>
    <row r="10" customFormat="false" ht="15" hidden="false" customHeight="false" outlineLevel="0" collapsed="false">
      <c r="A10" s="21" t="s">
        <v>363</v>
      </c>
      <c r="B10" s="21" t="n">
        <f aca="false">ROUND(15*((B9*10)/256),0)</f>
        <v>13</v>
      </c>
      <c r="C10" s="21" t="n">
        <f aca="false">ROUND(15*((C9*10)/256),0)</f>
        <v>13</v>
      </c>
      <c r="D10" s="21" t="n">
        <f aca="false">ROUND(15*((D9*10)/256),0)</f>
        <v>11</v>
      </c>
      <c r="E10" s="21" t="n">
        <f aca="false">ROUND(15*((E9*10)/256),0)</f>
        <v>11</v>
      </c>
      <c r="F10" s="21" t="n">
        <f aca="false">ROUND(15*((F9*10)/256),0)</f>
        <v>11</v>
      </c>
      <c r="G10" s="21" t="n">
        <f aca="false">ROUND(15*((G9*10)/256),0)</f>
        <v>11</v>
      </c>
      <c r="H10" s="21" t="n">
        <f aca="false">ROUND(15*((H9*10)/256),0)</f>
        <v>11</v>
      </c>
      <c r="I10" s="21" t="n">
        <f aca="false">ROUND(15*((I9*10)/256),0)</f>
        <v>11</v>
      </c>
      <c r="J10" s="21" t="n">
        <f aca="false">ROUND(15*((J9*10)/256),0)</f>
        <v>11</v>
      </c>
      <c r="K10" s="21" t="n">
        <f aca="false">ROUND(15*((K9*10)/256),0)</f>
        <v>11</v>
      </c>
      <c r="L10" s="21" t="n">
        <f aca="false">ROUND(15*((L9*10)/256),0)</f>
        <v>11</v>
      </c>
      <c r="M10" s="21" t="n">
        <f aca="false">ROUND(15*((M9*10)/256),0)</f>
        <v>11</v>
      </c>
      <c r="N10" s="21" t="n">
        <f aca="false">ROUND(15*((N9*10)/256),0)</f>
        <v>11</v>
      </c>
      <c r="O10" s="21" t="n">
        <f aca="false">ROUND(15*((O9*10)/256),0)</f>
        <v>11</v>
      </c>
      <c r="P10" s="21" t="n">
        <f aca="false">ROUND(15*((P9*10)/256),0)</f>
        <v>11</v>
      </c>
      <c r="Q10" s="21" t="n">
        <f aca="false">ROUND(15*((Q9*10)/256),0)</f>
        <v>11</v>
      </c>
      <c r="R10" s="21" t="n">
        <f aca="false">ROUND(15*((R9*10)/256),0)</f>
        <v>11</v>
      </c>
      <c r="S10" s="21" t="n">
        <f aca="false">ROUND(15*((S9*10)/256),0)</f>
        <v>11</v>
      </c>
      <c r="T10" s="21" t="n">
        <f aca="false">ROUND(15*((T9*10)/256),0)</f>
        <v>13</v>
      </c>
      <c r="U10" s="21" t="n">
        <f aca="false">ROUND(15*((U9*10)/256),0)</f>
        <v>13</v>
      </c>
    </row>
    <row r="11" customFormat="false" ht="15" hidden="false" customHeight="false" outlineLevel="0" collapsed="false">
      <c r="A11" s="21" t="s">
        <v>364</v>
      </c>
      <c r="B11" s="21" t="str">
        <f aca="false">VLOOKUP(B10,Constants!$A$1:$B$16,2,FALSE())</f>
        <v>4,5,4</v>
      </c>
      <c r="C11" s="21" t="str">
        <f aca="false">VLOOKUP(C10,Constants!$A$1:$B$16,2,FALSE())</f>
        <v>4,5,4</v>
      </c>
      <c r="D11" s="21" t="str">
        <f aca="false">VLOOKUP(D10,Constants!$A$1:$B$16,2,FALSE())</f>
        <v>4,3,4</v>
      </c>
      <c r="E11" s="21" t="str">
        <f aca="false">VLOOKUP(E10,Constants!$A$1:$B$16,2,FALSE())</f>
        <v>4,3,4</v>
      </c>
      <c r="F11" s="21" t="str">
        <f aca="false">VLOOKUP(F10,Constants!$A$1:$B$16,2,FALSE())</f>
        <v>4,3,4</v>
      </c>
      <c r="G11" s="21" t="str">
        <f aca="false">VLOOKUP(G10,Constants!$A$1:$B$16,2,FALSE())</f>
        <v>4,3,4</v>
      </c>
      <c r="H11" s="21" t="str">
        <f aca="false">VLOOKUP(H10,Constants!$A$1:$B$16,2,FALSE())</f>
        <v>4,3,4</v>
      </c>
      <c r="I11" s="21" t="str">
        <f aca="false">VLOOKUP(I10,Constants!$A$1:$B$16,2,FALSE())</f>
        <v>4,3,4</v>
      </c>
      <c r="J11" s="21" t="str">
        <f aca="false">VLOOKUP(J10,Constants!$A$1:$B$16,2,FALSE())</f>
        <v>4,3,4</v>
      </c>
      <c r="K11" s="21" t="str">
        <f aca="false">VLOOKUP(K10,Constants!$A$1:$B$16,2,FALSE())</f>
        <v>4,3,4</v>
      </c>
      <c r="L11" s="21" t="str">
        <f aca="false">VLOOKUP(L10,Constants!$A$1:$B$16,2,FALSE())</f>
        <v>4,3,4</v>
      </c>
      <c r="M11" s="21" t="str">
        <f aca="false">VLOOKUP(M10,Constants!$A$1:$B$16,2,FALSE())</f>
        <v>4,3,4</v>
      </c>
      <c r="N11" s="21" t="str">
        <f aca="false">VLOOKUP(N10,Constants!$A$1:$B$16,2,FALSE())</f>
        <v>4,3,4</v>
      </c>
      <c r="O11" s="21" t="str">
        <f aca="false">VLOOKUP(O10,Constants!$A$1:$B$16,2,FALSE())</f>
        <v>4,3,4</v>
      </c>
      <c r="P11" s="21" t="str">
        <f aca="false">VLOOKUP(P10,Constants!$A$1:$B$16,2,FALSE())</f>
        <v>4,3,4</v>
      </c>
      <c r="Q11" s="21" t="str">
        <f aca="false">VLOOKUP(Q10,Constants!$A$1:$B$16,2,FALSE())</f>
        <v>4,3,4</v>
      </c>
      <c r="R11" s="21" t="str">
        <f aca="false">VLOOKUP(R10,Constants!$A$1:$B$16,2,FALSE())</f>
        <v>4,3,4</v>
      </c>
      <c r="S11" s="21" t="str">
        <f aca="false">VLOOKUP(S10,Constants!$A$1:$B$16,2,FALSE())</f>
        <v>4,3,4</v>
      </c>
      <c r="T11" s="21" t="str">
        <f aca="false">VLOOKUP(T10,Constants!$A$1:$B$16,2,FALSE())</f>
        <v>4,5,4</v>
      </c>
      <c r="U11" s="21" t="str">
        <f aca="false">VLOOKUP(U10,Constants!$A$1:$B$16,2,FALSE())</f>
        <v>4,5,4</v>
      </c>
    </row>
    <row r="13" customFormat="false" ht="15" hidden="false" customHeight="false" outlineLevel="0" collapsed="false">
      <c r="B13" s="21" t="str">
        <f aca="false">_xlfn.TEXTJOIN(",",TRUE(),  B7:U7)</f>
        <v>eurostar,eurostar_motor,eurostar_mid,eurostar_mid,eurostar_mid,eurostar_mid,eurostar_tbk,eurostar_mid,eurostar_mid,eurostar_mid,eurostar_mid,eurostar_mid,eurostar_mid,eurostar_tbk,eurostar_mid,eurostar_mid,eurostar_mid,eurostar_mid,eurostar_motor_rev,eurostar_rear</v>
      </c>
    </row>
    <row r="14" customFormat="false" ht="15" hidden="false" customHeight="false" outlineLevel="0" collapsed="false">
      <c r="B14" s="21" t="str">
        <f aca="false">_xlfn.TEXTJOIN(",",TRUE(),  B8:U8)</f>
        <v>1,1,1,0,0,0,1,0,0,0,0,0,0,0,0,0,0,0,1,1</v>
      </c>
    </row>
    <row r="15" customFormat="false" ht="15" hidden="false" customHeight="false" outlineLevel="0" collapsed="false">
      <c r="B15" s="21" t="str">
        <f aca="false">_xlfn.TEXTJOIN(",",TRUE(),  B11:U11)</f>
        <v>4,5,4,4,5,4,4,3,4,4,3,4,4,3,4,4,3,4,4,3,4,4,3,4,4,3,4,4,3,4,4,3,4,4,3,4,4,3,4,4,3,4,4,3,4,4,3,4,4,3,4,4,3,4,4,5,4,4,5,4</v>
      </c>
    </row>
    <row r="16" customFormat="false" ht="15" hidden="false" customHeight="false" outlineLevel="0" collapsed="false">
      <c r="B16" s="21" t="str">
        <f aca="false">_xlfn.TEXTJOIN(",",TRUE(),  B10:U10)</f>
        <v>13,13,11,11,11,11,11,11,11,11,11,11,11,11,11,11,11,11,13,13</v>
      </c>
    </row>
    <row r="18" customFormat="false" ht="15" hidden="false" customHeight="false" outlineLevel="0" collapsed="false">
      <c r="B18" s="21" t="s">
        <v>365</v>
      </c>
    </row>
    <row r="19" customFormat="false" ht="15" hidden="false" customHeight="false" outlineLevel="0" collapsed="false">
      <c r="A19" s="21" t="s">
        <v>351</v>
      </c>
      <c r="B19" s="21" t="s">
        <v>357</v>
      </c>
      <c r="C19" s="21" t="s">
        <v>358</v>
      </c>
      <c r="D19" s="21" t="s">
        <v>359</v>
      </c>
      <c r="E19" s="21" t="s">
        <v>360</v>
      </c>
      <c r="F19" s="21" t="s">
        <v>359</v>
      </c>
      <c r="G19" s="21" t="s">
        <v>360</v>
      </c>
      <c r="H19" s="21" t="s">
        <v>361</v>
      </c>
      <c r="I19" s="21" t="s">
        <v>362</v>
      </c>
    </row>
    <row r="20" customFormat="false" ht="15" hidden="false" customHeight="false" outlineLevel="0" collapsed="false">
      <c r="A20" s="21" t="s">
        <v>355</v>
      </c>
      <c r="B20" s="21" t="n">
        <v>0</v>
      </c>
      <c r="C20" s="21" t="n">
        <v>0</v>
      </c>
      <c r="D20" s="21" t="n">
        <v>0</v>
      </c>
      <c r="E20" s="21" t="n">
        <v>0</v>
      </c>
      <c r="F20" s="21" t="n">
        <v>0</v>
      </c>
      <c r="G20" s="21" t="n">
        <v>0</v>
      </c>
      <c r="H20" s="21" t="n">
        <v>0</v>
      </c>
      <c r="I20" s="21" t="n">
        <v>0</v>
      </c>
    </row>
    <row r="21" customFormat="false" ht="15" hidden="false" customHeight="false" outlineLevel="0" collapsed="false">
      <c r="A21" s="21" t="s">
        <v>270</v>
      </c>
      <c r="B21" s="21" t="n">
        <v>22.15</v>
      </c>
      <c r="C21" s="21" t="n">
        <v>21.84</v>
      </c>
      <c r="D21" s="21" t="n">
        <v>18.7</v>
      </c>
      <c r="E21" s="21" t="n">
        <v>18.7</v>
      </c>
      <c r="F21" s="21" t="n">
        <v>18.7</v>
      </c>
      <c r="G21" s="21" t="n">
        <v>18.7</v>
      </c>
      <c r="H21" s="21" t="n">
        <v>21.84</v>
      </c>
      <c r="I21" s="21" t="n">
        <v>22.15</v>
      </c>
    </row>
    <row r="22" customFormat="false" ht="15" hidden="false" customHeight="false" outlineLevel="0" collapsed="false">
      <c r="A22" s="21" t="s">
        <v>363</v>
      </c>
      <c r="B22" s="21" t="n">
        <f aca="false">ROUND(15*((B21*10)/256),0)</f>
        <v>13</v>
      </c>
      <c r="C22" s="21" t="n">
        <f aca="false">ROUND(15*((C21*10)/256),0)</f>
        <v>13</v>
      </c>
      <c r="D22" s="21" t="n">
        <f aca="false">ROUND(15*((D21*10)/256),0)</f>
        <v>11</v>
      </c>
      <c r="E22" s="21" t="n">
        <f aca="false">ROUND(15*((E21*10)/256),0)</f>
        <v>11</v>
      </c>
      <c r="F22" s="21" t="n">
        <f aca="false">ROUND(15*((F21*10)/256),0)</f>
        <v>11</v>
      </c>
      <c r="G22" s="21" t="n">
        <f aca="false">ROUND(15*((G21*10)/256),0)</f>
        <v>11</v>
      </c>
      <c r="H22" s="21" t="n">
        <f aca="false">ROUND(15*((H21*10)/256),0)</f>
        <v>13</v>
      </c>
      <c r="I22" s="21" t="n">
        <f aca="false">ROUND(15*((I21*10)/256),0)</f>
        <v>13</v>
      </c>
    </row>
    <row r="23" customFormat="false" ht="15" hidden="false" customHeight="false" outlineLevel="0" collapsed="false">
      <c r="A23" s="21" t="s">
        <v>364</v>
      </c>
      <c r="B23" s="21" t="str">
        <f aca="false">VLOOKUP(B22,Constants!$A$1:$B$16,2,FALSE())</f>
        <v>4,5,4</v>
      </c>
      <c r="C23" s="21" t="str">
        <f aca="false">VLOOKUP(C22,Constants!$A$1:$B$16,2,FALSE())</f>
        <v>4,5,4</v>
      </c>
      <c r="D23" s="21" t="str">
        <f aca="false">VLOOKUP(D22,Constants!$A$1:$B$16,2,FALSE())</f>
        <v>4,3,4</v>
      </c>
      <c r="E23" s="21" t="str">
        <f aca="false">VLOOKUP(E22,Constants!$A$1:$B$16,2,FALSE())</f>
        <v>4,3,4</v>
      </c>
      <c r="F23" s="21" t="str">
        <f aca="false">VLOOKUP(F22,Constants!$A$1:$B$16,2,FALSE())</f>
        <v>4,3,4</v>
      </c>
      <c r="G23" s="21" t="str">
        <f aca="false">VLOOKUP(G22,Constants!$A$1:$B$16,2,FALSE())</f>
        <v>4,3,4</v>
      </c>
      <c r="H23" s="21" t="str">
        <f aca="false">VLOOKUP(H22,Constants!$A$1:$B$16,2,FALSE())</f>
        <v>4,5,4</v>
      </c>
      <c r="I23" s="21" t="str">
        <f aca="false">VLOOKUP(I22,Constants!$A$1:$B$16,2,FALSE())</f>
        <v>4,5,4</v>
      </c>
    </row>
    <row r="25" customFormat="false" ht="15" hidden="false" customHeight="false" outlineLevel="0" collapsed="false">
      <c r="B25" s="21" t="str">
        <f aca="false">_xlfn.TEXTJOIN(",",TRUE(),  B19:P19)</f>
        <v>eurostar,eurostar_motor,eurostar_mid,eurostar_tbk,eurostar_mid,eurostar_tbk,eurostar_motor_rev,eurostar_rear</v>
      </c>
    </row>
    <row r="26" customFormat="false" ht="15" hidden="false" customHeight="false" outlineLevel="0" collapsed="false">
      <c r="B26" s="21" t="str">
        <f aca="false">_xlfn.TEXTJOIN(",",TRUE(),  B20:P20)</f>
        <v>0,0,0,0,0,0,0,0</v>
      </c>
    </row>
    <row r="27" customFormat="false" ht="15" hidden="false" customHeight="false" outlineLevel="0" collapsed="false">
      <c r="B27" s="21" t="str">
        <f aca="false">_xlfn.TEXTJOIN(",",TRUE(),  B23:P23)</f>
        <v>4,5,4,4,5,4,4,3,4,4,3,4,4,3,4,4,3,4,4,5,4,4,5,4</v>
      </c>
    </row>
    <row r="28" customFormat="false" ht="15" hidden="false" customHeight="false" outlineLevel="0" collapsed="false">
      <c r="B28" s="21" t="str">
        <f aca="false">_xlfn.TEXTJOIN(",",TRUE(),  B22:U22)</f>
        <v>13,13,11,11,11,11,13,13</v>
      </c>
    </row>
    <row r="30" customFormat="false" ht="15" hidden="false" customHeight="false" outlineLevel="0" collapsed="false">
      <c r="B30" s="21" t="s">
        <v>366</v>
      </c>
    </row>
    <row r="31" customFormat="false" ht="15" hidden="false" customHeight="false" outlineLevel="0" collapsed="false">
      <c r="A31" s="21" t="s">
        <v>351</v>
      </c>
      <c r="B31" s="21" t="s">
        <v>357</v>
      </c>
      <c r="C31" s="21" t="s">
        <v>358</v>
      </c>
      <c r="D31" s="21" t="s">
        <v>359</v>
      </c>
      <c r="E31" s="21" t="s">
        <v>361</v>
      </c>
      <c r="F31" s="21" t="s">
        <v>362</v>
      </c>
    </row>
    <row r="32" customFormat="false" ht="15" hidden="false" customHeight="false" outlineLevel="0" collapsed="false">
      <c r="A32" s="21" t="s">
        <v>355</v>
      </c>
      <c r="B32" s="21" t="n">
        <v>0</v>
      </c>
      <c r="C32" s="21" t="n">
        <v>0</v>
      </c>
      <c r="D32" s="21" t="n">
        <v>0</v>
      </c>
      <c r="E32" s="21" t="n">
        <v>0</v>
      </c>
      <c r="F32" s="21" t="n">
        <v>0</v>
      </c>
    </row>
    <row r="33" customFormat="false" ht="15" hidden="false" customHeight="false" outlineLevel="0" collapsed="false">
      <c r="A33" s="21" t="s">
        <v>270</v>
      </c>
      <c r="B33" s="21" t="n">
        <v>22.15</v>
      </c>
      <c r="C33" s="21" t="n">
        <v>21.84</v>
      </c>
      <c r="D33" s="21" t="n">
        <v>18.7</v>
      </c>
      <c r="E33" s="21" t="n">
        <v>21.84</v>
      </c>
      <c r="F33" s="21" t="n">
        <v>22.15</v>
      </c>
    </row>
    <row r="34" customFormat="false" ht="15" hidden="false" customHeight="false" outlineLevel="0" collapsed="false">
      <c r="A34" s="21" t="s">
        <v>363</v>
      </c>
      <c r="B34" s="21" t="n">
        <f aca="false">ROUND(15*((B33*10)/256),0)</f>
        <v>13</v>
      </c>
      <c r="C34" s="21" t="n">
        <f aca="false">ROUND(15*((C33*10)/256),0)</f>
        <v>13</v>
      </c>
      <c r="D34" s="21" t="n">
        <f aca="false">ROUND(15*((D33*10)/256),0)</f>
        <v>11</v>
      </c>
      <c r="E34" s="21" t="n">
        <f aca="false">ROUND(15*((E33*10)/256),0)</f>
        <v>13</v>
      </c>
      <c r="F34" s="21" t="n">
        <f aca="false">ROUND(15*((F33*10)/256),0)</f>
        <v>13</v>
      </c>
    </row>
    <row r="35" customFormat="false" ht="15" hidden="false" customHeight="false" outlineLevel="0" collapsed="false">
      <c r="A35" s="21" t="s">
        <v>364</v>
      </c>
      <c r="B35" s="21" t="str">
        <f aca="false">VLOOKUP(B34,Constants!$A$1:$B$16,2,FALSE())</f>
        <v>4,5,4</v>
      </c>
      <c r="C35" s="21" t="str">
        <f aca="false">VLOOKUP(C34,Constants!$A$1:$B$16,2,FALSE())</f>
        <v>4,5,4</v>
      </c>
      <c r="D35" s="21" t="str">
        <f aca="false">VLOOKUP(D34,Constants!$A$1:$B$16,2,FALSE())</f>
        <v>4,3,4</v>
      </c>
      <c r="E35" s="21" t="str">
        <f aca="false">VLOOKUP(E34,Constants!$A$1:$B$16,2,FALSE())</f>
        <v>4,5,4</v>
      </c>
      <c r="F35" s="21" t="str">
        <f aca="false">VLOOKUP(F34,Constants!$A$1:$B$16,2,FALSE())</f>
        <v>4,5,4</v>
      </c>
    </row>
    <row r="37" customFormat="false" ht="15" hidden="false" customHeight="false" outlineLevel="0" collapsed="false">
      <c r="B37" s="21" t="str">
        <f aca="false">_xlfn.TEXTJOIN(",",TRUE(),  B31:P31)</f>
        <v>eurostar,eurostar_motor,eurostar_mid,eurostar_motor_rev,eurostar_rear</v>
      </c>
    </row>
    <row r="38" customFormat="false" ht="15" hidden="false" customHeight="false" outlineLevel="0" collapsed="false">
      <c r="B38" s="21" t="str">
        <f aca="false">_xlfn.TEXTJOIN(",",TRUE(),  B32:P32)</f>
        <v>0,0,0,0,0</v>
      </c>
    </row>
    <row r="39" customFormat="false" ht="15" hidden="false" customHeight="false" outlineLevel="0" collapsed="false">
      <c r="B39" s="21" t="str">
        <f aca="false">_xlfn.TEXTJOIN(",",TRUE(),  B35:P35)</f>
        <v>4,5,4,4,5,4,4,3,4,4,5,4,4,5,4</v>
      </c>
    </row>
    <row r="40" customFormat="false" ht="15" hidden="false" customHeight="false" outlineLevel="0" collapsed="false">
      <c r="B40" s="21" t="str">
        <f aca="false">_xlfn.TEXTJOIN(",",TRUE(),  B34:U34)</f>
        <v>13,13,11,13,13</v>
      </c>
    </row>
    <row r="42" customFormat="false" ht="15" hidden="false" customHeight="false" outlineLevel="0" collapsed="false">
      <c r="B42" s="21" t="s">
        <v>367</v>
      </c>
    </row>
    <row r="43" customFormat="false" ht="15" hidden="false" customHeight="false" outlineLevel="0" collapsed="false">
      <c r="A43" s="21" t="s">
        <v>351</v>
      </c>
      <c r="B43" s="21" t="s">
        <v>368</v>
      </c>
      <c r="C43" s="21" t="s">
        <v>369</v>
      </c>
      <c r="D43" s="21" t="s">
        <v>370</v>
      </c>
      <c r="E43" s="21" t="s">
        <v>371</v>
      </c>
      <c r="F43" s="21" t="s">
        <v>372</v>
      </c>
    </row>
    <row r="44" customFormat="false" ht="15" hidden="false" customHeight="false" outlineLevel="0" collapsed="false">
      <c r="A44" s="21" t="s">
        <v>355</v>
      </c>
      <c r="B44" s="21" t="n">
        <v>1</v>
      </c>
      <c r="C44" s="21" t="n">
        <v>1</v>
      </c>
      <c r="D44" s="21" t="n">
        <v>1</v>
      </c>
      <c r="E44" s="21" t="n">
        <v>1</v>
      </c>
      <c r="F44" s="21" t="n">
        <v>1</v>
      </c>
    </row>
    <row r="45" customFormat="false" ht="15" hidden="false" customHeight="false" outlineLevel="0" collapsed="false">
      <c r="A45" s="21" t="s">
        <v>270</v>
      </c>
      <c r="B45" s="21" t="n">
        <v>20.2</v>
      </c>
      <c r="C45" s="21" t="n">
        <v>15.7</v>
      </c>
      <c r="D45" s="21" t="n">
        <v>10</v>
      </c>
      <c r="E45" s="21" t="n">
        <v>15.7</v>
      </c>
      <c r="F45" s="21" t="n">
        <v>20.2</v>
      </c>
    </row>
    <row r="46" customFormat="false" ht="15" hidden="false" customHeight="false" outlineLevel="0" collapsed="false">
      <c r="A46" s="21" t="s">
        <v>363</v>
      </c>
      <c r="B46" s="21" t="n">
        <f aca="false">ROUND(15*((B45*10)/256),0)</f>
        <v>12</v>
      </c>
      <c r="C46" s="21" t="n">
        <f aca="false">ROUND(15*((C45*10)/256),0)</f>
        <v>9</v>
      </c>
      <c r="D46" s="21" t="n">
        <f aca="false">ROUND(15*((D45*10)/256),0)</f>
        <v>6</v>
      </c>
      <c r="E46" s="21" t="n">
        <f aca="false">ROUND(15*((E45*10)/256),0)</f>
        <v>9</v>
      </c>
      <c r="F46" s="21" t="n">
        <f aca="false">ROUND(15*((F45*10)/256),0)</f>
        <v>12</v>
      </c>
    </row>
    <row r="47" customFormat="false" ht="15" hidden="false" customHeight="false" outlineLevel="0" collapsed="false">
      <c r="A47" s="21" t="s">
        <v>364</v>
      </c>
      <c r="B47" s="21" t="str">
        <f aca="false">VLOOKUP(B46,Constants!$A$1:$B$16,2,FALSE())</f>
        <v>4,4,4</v>
      </c>
      <c r="C47" s="21" t="str">
        <f aca="false">VLOOKUP(C46,Constants!$A$1:$B$16,2,FALSE())</f>
        <v>2,5,2</v>
      </c>
      <c r="D47" s="21" t="str">
        <f aca="false">VLOOKUP(D46,Constants!$A$1:$B$16,2,FALSE())</f>
        <v>2,2,2</v>
      </c>
      <c r="E47" s="21" t="str">
        <f aca="false">VLOOKUP(E46,Constants!$A$1:$B$16,2,FALSE())</f>
        <v>2,5,2</v>
      </c>
      <c r="F47" s="21" t="str">
        <f aca="false">VLOOKUP(F46,Constants!$A$1:$B$16,2,FALSE())</f>
        <v>4,4,4</v>
      </c>
    </row>
    <row r="49" customFormat="false" ht="15" hidden="false" customHeight="false" outlineLevel="0" collapsed="false">
      <c r="B49" s="21" t="str">
        <f aca="false">_xlfn.TEXTJOIN(",",TRUE(),  B43:P43)</f>
        <v>stadler_class_755,stadler_class_755_mid,stadler_class_755_motor,stadler_class_755_mid_rev,stadler_class_755_rear</v>
      </c>
    </row>
    <row r="50" customFormat="false" ht="15" hidden="false" customHeight="false" outlineLevel="0" collapsed="false">
      <c r="B50" s="21" t="str">
        <f aca="false">_xlfn.TEXTJOIN(",",TRUE(),  B44:P44)</f>
        <v>1,1,1,1,1</v>
      </c>
    </row>
    <row r="51" customFormat="false" ht="15" hidden="false" customHeight="false" outlineLevel="0" collapsed="false">
      <c r="B51" s="21" t="str">
        <f aca="false">_xlfn.TEXTJOIN(",",TRUE(),  B47:P47)</f>
        <v>4,4,4,2,5,2,2,2,2,2,5,2,4,4,4</v>
      </c>
    </row>
    <row r="52" customFormat="false" ht="15" hidden="false" customHeight="false" outlineLevel="0" collapsed="false">
      <c r="B52" s="21" t="str">
        <f aca="false">_xlfn.TEXTJOIN(",",TRUE(),  B46:U46)</f>
        <v>12,9,6,9,12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22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F4" activeCellId="0" sqref="F4"/>
    </sheetView>
  </sheetViews>
  <sheetFormatPr defaultColWidth="10.18359375" defaultRowHeight="12.8" customHeight="true" zeroHeight="false" outlineLevelRow="0" outlineLevelCol="0"/>
  <cols>
    <col collapsed="false" customWidth="true" hidden="false" outlineLevel="0" max="1" min="1" style="21" width="14.37"/>
  </cols>
  <sheetData>
    <row r="1" customFormat="false" ht="13.8" hidden="false" customHeight="false" outlineLevel="0" collapsed="false">
      <c r="A1" s="21" t="s">
        <v>373</v>
      </c>
      <c r="B1" s="21" t="s">
        <v>374</v>
      </c>
      <c r="C1" s="21" t="s">
        <v>375</v>
      </c>
      <c r="D1" s="21" t="s">
        <v>12</v>
      </c>
      <c r="E1" s="21" t="s">
        <v>376</v>
      </c>
    </row>
    <row r="2" customFormat="false" ht="13.8" hidden="false" customHeight="false" outlineLevel="0" collapsed="false">
      <c r="A2" s="21" t="s">
        <v>377</v>
      </c>
      <c r="B2" s="21" t="n">
        <f aca="false">(33.7+24+26.75+24.15+24.3+31.9)</f>
        <v>164.8</v>
      </c>
      <c r="C2" s="21" t="n">
        <f aca="false">52+72+28+43+47+25</f>
        <v>267</v>
      </c>
      <c r="D2" s="21" t="n">
        <v>6</v>
      </c>
      <c r="E2" s="21" t="n">
        <f aca="false">C2/D2</f>
        <v>44.5</v>
      </c>
    </row>
    <row r="3" customFormat="false" ht="13.8" hidden="false" customHeight="false" outlineLevel="0" collapsed="false">
      <c r="A3" s="21" t="s">
        <v>378</v>
      </c>
      <c r="B3" s="21" t="n">
        <f aca="false">B2+24</f>
        <v>188.8</v>
      </c>
      <c r="C3" s="21" t="n">
        <f aca="false">C2+72+72-42</f>
        <v>369</v>
      </c>
      <c r="D3" s="21" t="n">
        <v>7</v>
      </c>
      <c r="E3" s="21" t="n">
        <f aca="false">C3/D3</f>
        <v>52.7142857142857</v>
      </c>
    </row>
    <row r="4" customFormat="false" ht="13.8" hidden="false" customHeight="false" outlineLevel="0" collapsed="false">
      <c r="A4" s="21" t="s">
        <v>379</v>
      </c>
      <c r="B4" s="21" t="n">
        <f aca="false">(33.7+31.9)</f>
        <v>65.6</v>
      </c>
      <c r="C4" s="21" t="n">
        <f aca="false">52+25</f>
        <v>77</v>
      </c>
      <c r="D4" s="21" t="n">
        <v>2</v>
      </c>
      <c r="E4" s="21" t="n">
        <f aca="false">C4/D4</f>
        <v>38.5</v>
      </c>
    </row>
    <row r="5" customFormat="false" ht="13.8" hidden="false" customHeight="false" outlineLevel="0" collapsed="false">
      <c r="A5" s="21" t="s">
        <v>380</v>
      </c>
      <c r="B5" s="21" t="n">
        <f aca="false">(31.9 * 2) + (24.3 * 8)</f>
        <v>258.2</v>
      </c>
      <c r="C5" s="21" t="n">
        <f aca="false">60+72+72+72+72+18+47+47+36</f>
        <v>496</v>
      </c>
      <c r="D5" s="21" t="n">
        <v>10</v>
      </c>
      <c r="E5" s="21" t="n">
        <f aca="false">C5/D5</f>
        <v>49.6</v>
      </c>
    </row>
    <row r="6" customFormat="false" ht="13.8" hidden="false" customHeight="false" outlineLevel="0" collapsed="false">
      <c r="A6" s="21" t="s">
        <v>381</v>
      </c>
      <c r="B6" s="21" t="n">
        <f aca="false">(31.9 * 2) + (24.3 * 6)</f>
        <v>209.6</v>
      </c>
      <c r="C6" s="21" t="n">
        <f aca="false">60+72+72+18+47+36</f>
        <v>305</v>
      </c>
      <c r="D6" s="21" t="n">
        <v>6</v>
      </c>
      <c r="E6" s="21" t="n">
        <f aca="false">C6/D6</f>
        <v>50.8333333333333</v>
      </c>
    </row>
    <row r="7" customFormat="false" ht="13.8" hidden="false" customHeight="false" outlineLevel="0" collapsed="false">
      <c r="A7" s="21" t="s">
        <v>382</v>
      </c>
      <c r="B7" s="21" t="str">
        <f aca="false">_xlfn.TEXTJOIN(",",1,A13:A20)</f>
        <v>apt_half_6,apt_half_6_rev,apt_powercar,apt_powercar2,apt_half_2,apt_half_2_rev,apt_q_dvt,apt_s_dm</v>
      </c>
    </row>
    <row r="8" customFormat="false" ht="13.8" hidden="false" customHeight="false" outlineLevel="0" collapsed="false">
      <c r="B8" s="21" t="str">
        <f aca="false">APTMUVehicles</f>
        <v>apt_half_6,apt_half_6_rev,apt_powercar,apt_powercar2,apt_half_2,apt_half_2_rev,apt_q_dvt,apt_s_dm</v>
      </c>
    </row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>
      <c r="A13" s="21" t="s">
        <v>147</v>
      </c>
    </row>
    <row r="14" customFormat="false" ht="13.8" hidden="false" customHeight="false" outlineLevel="0" collapsed="false">
      <c r="A14" s="21" t="s">
        <v>156</v>
      </c>
    </row>
    <row r="15" customFormat="false" ht="13.8" hidden="false" customHeight="false" outlineLevel="0" collapsed="false">
      <c r="A15" s="21" t="s">
        <v>168</v>
      </c>
    </row>
    <row r="16" customFormat="false" ht="13.8" hidden="false" customHeight="false" outlineLevel="0" collapsed="false">
      <c r="A16" s="21" t="s">
        <v>173</v>
      </c>
    </row>
    <row r="17" customFormat="false" ht="13.8" hidden="false" customHeight="false" outlineLevel="0" collapsed="false">
      <c r="A17" s="21" t="s">
        <v>161</v>
      </c>
    </row>
    <row r="18" customFormat="false" ht="13.8" hidden="false" customHeight="false" outlineLevel="0" collapsed="false">
      <c r="A18" s="21" t="s">
        <v>165</v>
      </c>
    </row>
    <row r="19" customFormat="false" ht="13.8" hidden="false" customHeight="false" outlineLevel="0" collapsed="false">
      <c r="A19" s="21" t="s">
        <v>181</v>
      </c>
    </row>
    <row r="20" customFormat="false" ht="13.8" hidden="false" customHeight="false" outlineLevel="0" collapsed="false">
      <c r="A20" s="21" t="s">
        <v>176</v>
      </c>
    </row>
    <row r="21" customFormat="false" ht="13.8" hidden="false" customHeight="false" outlineLevel="0" collapsed="false">
      <c r="A21" s="21" t="s">
        <v>184</v>
      </c>
    </row>
    <row r="22" customFormat="false" ht="13.8" hidden="false" customHeight="false" outlineLevel="0" collapsed="false">
      <c r="A22" s="21" t="s">
        <v>191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6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D10" activeCellId="0" sqref="D10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2" min="2" style="21" width="47.72"/>
  </cols>
  <sheetData>
    <row r="1" customFormat="false" ht="13.8" hidden="false" customHeight="false" outlineLevel="0" collapsed="false">
      <c r="A1" s="34" t="s">
        <v>383</v>
      </c>
      <c r="B1" s="34" t="s">
        <v>384</v>
      </c>
      <c r="C1" s="34" t="s">
        <v>385</v>
      </c>
      <c r="D1" s="34" t="n">
        <v>0</v>
      </c>
      <c r="E1" s="21" t="s">
        <v>386</v>
      </c>
    </row>
    <row r="2" customFormat="false" ht="13.8" hidden="false" customHeight="false" outlineLevel="0" collapsed="false">
      <c r="A2" s="34" t="s">
        <v>387</v>
      </c>
      <c r="B2" s="34" t="s">
        <v>388</v>
      </c>
      <c r="C2" s="34" t="s">
        <v>385</v>
      </c>
      <c r="D2" s="34" t="n">
        <v>1</v>
      </c>
      <c r="E2" s="21" t="s">
        <v>386</v>
      </c>
    </row>
    <row r="3" customFormat="false" ht="13.8" hidden="false" customHeight="false" outlineLevel="0" collapsed="false">
      <c r="A3" s="34" t="s">
        <v>389</v>
      </c>
      <c r="B3" s="34" t="s">
        <v>390</v>
      </c>
      <c r="C3" s="34" t="s">
        <v>385</v>
      </c>
      <c r="D3" s="34" t="n">
        <v>2</v>
      </c>
      <c r="E3" s="21" t="s">
        <v>386</v>
      </c>
    </row>
    <row r="4" customFormat="false" ht="13.8" hidden="false" customHeight="false" outlineLevel="0" collapsed="false">
      <c r="A4" s="34" t="s">
        <v>391</v>
      </c>
      <c r="B4" s="34" t="s">
        <v>392</v>
      </c>
      <c r="C4" s="34" t="s">
        <v>385</v>
      </c>
      <c r="D4" s="34" t="n">
        <v>3</v>
      </c>
      <c r="E4" s="21" t="s">
        <v>386</v>
      </c>
    </row>
    <row r="5" customFormat="false" ht="13.8" hidden="false" customHeight="false" outlineLevel="0" collapsed="false">
      <c r="A5" s="34" t="s">
        <v>393</v>
      </c>
      <c r="B5" s="34" t="s">
        <v>394</v>
      </c>
      <c r="C5" s="34" t="s">
        <v>385</v>
      </c>
      <c r="D5" s="34" t="n">
        <v>4</v>
      </c>
      <c r="E5" s="21" t="s">
        <v>386</v>
      </c>
    </row>
    <row r="6" customFormat="false" ht="13.8" hidden="false" customHeight="false" outlineLevel="0" collapsed="false">
      <c r="A6" s="34" t="s">
        <v>395</v>
      </c>
      <c r="B6" s="34" t="s">
        <v>396</v>
      </c>
      <c r="C6" s="34" t="s">
        <v>385</v>
      </c>
      <c r="D6" s="34" t="n">
        <v>5</v>
      </c>
      <c r="E6" s="21" t="s">
        <v>386</v>
      </c>
    </row>
    <row r="7" customFormat="false" ht="13.8" hidden="false" customHeight="false" outlineLevel="0" collapsed="false">
      <c r="A7" s="34" t="s">
        <v>397</v>
      </c>
      <c r="B7" s="34" t="s">
        <v>398</v>
      </c>
      <c r="C7" s="34" t="s">
        <v>385</v>
      </c>
      <c r="D7" s="34" t="n">
        <v>6</v>
      </c>
      <c r="E7" s="21" t="s">
        <v>386</v>
      </c>
    </row>
    <row r="8" customFormat="false" ht="13.8" hidden="false" customHeight="false" outlineLevel="0" collapsed="false">
      <c r="A8" s="34" t="s">
        <v>399</v>
      </c>
      <c r="B8" s="34" t="s">
        <v>400</v>
      </c>
      <c r="C8" s="34" t="s">
        <v>385</v>
      </c>
      <c r="D8" s="34" t="n">
        <v>7</v>
      </c>
      <c r="E8" s="21" t="s">
        <v>386</v>
      </c>
    </row>
    <row r="9" customFormat="false" ht="13.8" hidden="false" customHeight="false" outlineLevel="0" collapsed="false">
      <c r="A9" s="34" t="s">
        <v>401</v>
      </c>
      <c r="B9" s="34" t="s">
        <v>402</v>
      </c>
      <c r="C9" s="34" t="s">
        <v>385</v>
      </c>
      <c r="D9" s="34" t="n">
        <v>8</v>
      </c>
      <c r="E9" s="21" t="s">
        <v>386</v>
      </c>
    </row>
    <row r="10" customFormat="false" ht="13.8" hidden="false" customHeight="false" outlineLevel="0" collapsed="false">
      <c r="A10" s="34" t="s">
        <v>403</v>
      </c>
      <c r="B10" s="34" t="s">
        <v>404</v>
      </c>
      <c r="C10" s="34" t="s">
        <v>385</v>
      </c>
      <c r="D10" s="34" t="n">
        <v>9</v>
      </c>
      <c r="E10" s="21" t="s">
        <v>386</v>
      </c>
    </row>
    <row r="11" customFormat="false" ht="13.8" hidden="false" customHeight="false" outlineLevel="0" collapsed="false">
      <c r="A11" s="34" t="s">
        <v>405</v>
      </c>
      <c r="B11" s="34" t="s">
        <v>406</v>
      </c>
      <c r="C11" s="34" t="s">
        <v>385</v>
      </c>
      <c r="D11" s="34" t="n">
        <v>10</v>
      </c>
      <c r="E11" s="21" t="s">
        <v>386</v>
      </c>
    </row>
    <row r="12" customFormat="false" ht="13.8" hidden="false" customHeight="false" outlineLevel="0" collapsed="false">
      <c r="A12" s="34" t="s">
        <v>407</v>
      </c>
      <c r="B12" s="34" t="s">
        <v>408</v>
      </c>
      <c r="C12" s="34" t="s">
        <v>385</v>
      </c>
      <c r="D12" s="34" t="n">
        <v>11</v>
      </c>
      <c r="E12" s="21" t="s">
        <v>386</v>
      </c>
    </row>
    <row r="13" customFormat="false" ht="13.8" hidden="false" customHeight="false" outlineLevel="0" collapsed="false">
      <c r="A13" s="34" t="s">
        <v>409</v>
      </c>
      <c r="B13" s="34" t="s">
        <v>410</v>
      </c>
      <c r="C13" s="34" t="s">
        <v>385</v>
      </c>
      <c r="D13" s="34" t="n">
        <v>12</v>
      </c>
      <c r="E13" s="21" t="s">
        <v>386</v>
      </c>
    </row>
    <row r="14" customFormat="false" ht="13.8" hidden="false" customHeight="false" outlineLevel="0" collapsed="false">
      <c r="A14" s="34" t="s">
        <v>411</v>
      </c>
      <c r="B14" s="34" t="s">
        <v>412</v>
      </c>
      <c r="C14" s="34" t="s">
        <v>385</v>
      </c>
      <c r="D14" s="34" t="n">
        <v>13</v>
      </c>
      <c r="E14" s="21" t="s">
        <v>386</v>
      </c>
    </row>
    <row r="15" customFormat="false" ht="13.8" hidden="false" customHeight="false" outlineLevel="0" collapsed="false">
      <c r="A15" s="34" t="s">
        <v>413</v>
      </c>
      <c r="B15" s="34" t="s">
        <v>414</v>
      </c>
      <c r="C15" s="34" t="s">
        <v>385</v>
      </c>
      <c r="D15" s="34" t="n">
        <v>14</v>
      </c>
      <c r="E15" s="21" t="s">
        <v>386</v>
      </c>
    </row>
    <row r="16" customFormat="false" ht="13.8" hidden="false" customHeight="false" outlineLevel="0" collapsed="false">
      <c r="A16" s="34" t="s">
        <v>415</v>
      </c>
      <c r="B16" s="34" t="s">
        <v>416</v>
      </c>
      <c r="C16" s="34" t="s">
        <v>385</v>
      </c>
      <c r="D16" s="34" t="n">
        <v>15</v>
      </c>
      <c r="E16" s="21" t="s">
        <v>386</v>
      </c>
    </row>
  </sheetData>
  <hyperlinks>
    <hyperlink ref="A1" r:id="rId1" location="CC_PASSENGERS" display="Passengers  "/>
    <hyperlink ref="B1" r:id="rId2" location="CC_PASSENGERS" display="CC_PASSENGERS"/>
    <hyperlink ref="A2" r:id="rId3" location="CC_MAIL" display="Mail  "/>
    <hyperlink ref="B2" r:id="rId4" location="CC_MAIL" display="CC_MAIL"/>
    <hyperlink ref="A3" r:id="rId5" location="CC_EXPRESS" display="Express  "/>
    <hyperlink ref="B3" r:id="rId6" location="CC_EXPRESS" display="CC_EXPRESS"/>
    <hyperlink ref="A4" r:id="rId7" location="CC_ARMOURED" display="Armoured  "/>
    <hyperlink ref="B4" r:id="rId8" location="CC_ARMOURED" display="CC_ARMOURED"/>
    <hyperlink ref="A5" r:id="rId9" location="CC_OPEN_BULK" display="Open Bulk  "/>
    <hyperlink ref="B5" r:id="rId10" location="CC_OPEN_BULK" display="CC_OPEN_BULK"/>
    <hyperlink ref="A6" r:id="rId11" location="CC_PIECE_GOODS" display="Piece Goods  "/>
    <hyperlink ref="B6" r:id="rId12" location="CC_PIECE_GOODS" display="CC_PIECE_GOODS"/>
    <hyperlink ref="A7" r:id="rId13" location="CC_LIQUID_BULK" display="Liquid Bulk  "/>
    <hyperlink ref="B7" r:id="rId14" location="CC_LIQUID_BULK" display="CC_LIQUID_BULK"/>
    <hyperlink ref="A8" r:id="rId15" location="CC_REFRIGERATED" display="Refrigerated  "/>
    <hyperlink ref="B8" r:id="rId16" location="CC_REFRIGERATED" display="CC_REFRIGERATED"/>
    <hyperlink ref="A9" r:id="rId17" location="CC_GAS_BULK" display="Gas Bulk  "/>
    <hyperlink ref="B9" r:id="rId18" location="CC_GAS_BULK" display="CC_GAS_BULK"/>
    <hyperlink ref="A10" r:id="rId19" location="CC_COVERED_BULK" display="Covered Bulk  "/>
    <hyperlink ref="B10" r:id="rId20" location="CC_COVERED_BULK" display="CC_COVERED_BULK"/>
    <hyperlink ref="A11" r:id="rId21" location="CC_FLATBED" display="Flatbed  "/>
    <hyperlink ref="B11" r:id="rId22" location="CC_FLATBED" display="CC_FLATBED"/>
    <hyperlink ref="A12" r:id="rId23" location="CC_POWDER_BULK" display="Powder Bulk  "/>
    <hyperlink ref="B12" r:id="rId24" location="CC_POWDER_BULK" display="CC_POWDER_BULK"/>
    <hyperlink ref="A13" r:id="rId25" location="CC_WEIRD" display="Weird  "/>
    <hyperlink ref="B13" r:id="rId26" location="CC_WEIRD" display="CC_WEIRD"/>
    <hyperlink ref="A14" r:id="rId27" location="CC_POTABLE" display="Potable  "/>
    <hyperlink ref="B14" r:id="rId28" location="CC_POTABLE" display="CC_POTABLE"/>
    <hyperlink ref="A15" r:id="rId29" location="CC_NON_POTABLE" display="Non-Potable  "/>
    <hyperlink ref="B15" r:id="rId30" location="CC_NON_POTABLE" display="CC_NON_POTABLE"/>
    <hyperlink ref="A16" r:id="rId31" location="CC_SPECIAL" display="Special (do not use) "/>
    <hyperlink ref="B16" r:id="rId32" location="CC_SPECIAL" display="CC_SPECIAL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968</TotalTime>
  <Application>LibreOffice/25.8.3.2$Linux_X86_64 LibreOffice_project/8ca8d55c161d602844f5428fa4b58097424e324e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2018-09-29T15:27:54Z</dcterms:created>
  <dc:creator>Matt Kimber</dc:creator>
  <dc:description/>
  <dc:language>en-GB</dc:language>
  <cp:lastModifiedBy/>
  <dcterms:modified xsi:type="dcterms:W3CDTF">2026-01-08T16:55:19Z</dcterms:modified>
  <cp:revision>96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